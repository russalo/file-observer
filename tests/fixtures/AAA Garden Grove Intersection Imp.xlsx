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OneDrive\Documents\"/>
    </mc:Choice>
  </mc:AlternateContent>
  <xr:revisionPtr revIDLastSave="0" documentId="8_{6CE9C29B-1078-4B75-86D1-E0F4ED252007}" xr6:coauthVersionLast="47" xr6:coauthVersionMax="47" xr10:uidLastSave="{00000000-0000-0000-0000-000000000000}"/>
  <bookViews>
    <workbookView xWindow="-110" yWindow="-110" windowWidth="38620" windowHeight="21100" xr2:uid="{BA137397-6662-433A-A420-BE9E4E0A4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26" i="1"/>
  <c r="J25" i="1"/>
  <c r="J24" i="1"/>
  <c r="J23" i="1"/>
  <c r="J22" i="1"/>
  <c r="J21" i="1"/>
  <c r="J20" i="1"/>
  <c r="J19" i="1"/>
  <c r="J28" i="1" s="1"/>
  <c r="J15" i="1"/>
  <c r="J14" i="1"/>
  <c r="J13" i="1"/>
  <c r="J12" i="1"/>
  <c r="J11" i="1"/>
  <c r="J10" i="1"/>
  <c r="J9" i="1"/>
  <c r="J8" i="1"/>
  <c r="J7" i="1"/>
  <c r="J6" i="1"/>
  <c r="J16" i="1" l="1"/>
  <c r="J29" i="1"/>
</calcChain>
</file>

<file path=xl/sharedStrings.xml><?xml version="1.0" encoding="utf-8"?>
<sst xmlns="http://schemas.openxmlformats.org/spreadsheetml/2006/main" count="57" uniqueCount="34">
  <si>
    <r>
      <rPr>
        <b/>
        <sz val="11"/>
        <rFont val="Verdana"/>
        <family val="2"/>
      </rPr>
      <t>Sub-Storm</t>
    </r>
  </si>
  <si>
    <r>
      <rPr>
        <b/>
        <sz val="8"/>
        <rFont val="Tahoma"/>
        <family val="2"/>
      </rPr>
      <t>Line#</t>
    </r>
  </si>
  <si>
    <r>
      <rPr>
        <b/>
        <sz val="8"/>
        <rFont val="Tahoma"/>
        <family val="2"/>
      </rPr>
      <t>Item #</t>
    </r>
  </si>
  <si>
    <r>
      <rPr>
        <b/>
        <sz val="8"/>
        <rFont val="Tahoma"/>
        <family val="2"/>
      </rPr>
      <t>Description</t>
    </r>
  </si>
  <si>
    <r>
      <rPr>
        <b/>
        <sz val="8"/>
        <rFont val="Tahoma"/>
        <family val="2"/>
      </rPr>
      <t>Quantity</t>
    </r>
  </si>
  <si>
    <r>
      <rPr>
        <b/>
        <sz val="8"/>
        <rFont val="Tahoma"/>
        <family val="2"/>
      </rPr>
      <t>UM</t>
    </r>
  </si>
  <si>
    <r>
      <rPr>
        <b/>
        <sz val="8"/>
        <rFont val="Tahoma"/>
        <family val="2"/>
      </rPr>
      <t>Unit Price</t>
    </r>
  </si>
  <si>
    <t>Total</t>
  </si>
  <si>
    <r>
      <rPr>
        <sz val="8"/>
        <rFont val="Tahoma"/>
        <family val="2"/>
      </rPr>
      <t>Remove Existing and Construct PCC Manhole per Plan</t>
    </r>
  </si>
  <si>
    <r>
      <rPr>
        <sz val="8"/>
        <rFont val="Tahoma"/>
        <family val="2"/>
      </rPr>
      <t>EACH</t>
    </r>
  </si>
  <si>
    <r>
      <rPr>
        <sz val="8"/>
        <rFont val="Tahoma"/>
        <family val="2"/>
      </rPr>
      <t>Remove Existing and Construct 18" Dia. RCP including Concrete Collar</t>
    </r>
  </si>
  <si>
    <r>
      <rPr>
        <sz val="8"/>
        <rFont val="Tahoma"/>
        <family val="2"/>
      </rPr>
      <t>LF</t>
    </r>
  </si>
  <si>
    <r>
      <rPr>
        <sz val="8"/>
        <rFont val="Tahoma"/>
        <family val="2"/>
      </rPr>
      <t>Construct 24" Dia. RCP including Concrete Collar</t>
    </r>
  </si>
  <si>
    <r>
      <rPr>
        <sz val="8"/>
        <rFont val="Tahoma"/>
        <family val="2"/>
      </rPr>
      <t>Remove Existing and Construct 30" Dia. RCP including Concrete Collar</t>
    </r>
  </si>
  <si>
    <r>
      <rPr>
        <sz val="8"/>
        <rFont val="Tahoma"/>
        <family val="2"/>
      </rPr>
      <t>Construct 18" High Performance Polypropylene Pipe with transition connector to RCP</t>
    </r>
  </si>
  <si>
    <r>
      <rPr>
        <sz val="8"/>
        <rFont val="Tahoma"/>
        <family val="2"/>
      </rPr>
      <t>Remove Existing and Construct PCC Catch Basin including Local Depression. W=4ft to 8ft and Connector Pipe Screen (CPS) with Bypass Lid</t>
    </r>
  </si>
  <si>
    <r>
      <rPr>
        <sz val="8"/>
        <rFont val="Tahoma"/>
        <family val="2"/>
      </rPr>
      <t>Remove Existing and Construct PCC Catch Basin including Local Depression. W=21ft and Connector Pipe Screen (CPS) with Bypass Lid</t>
    </r>
  </si>
  <si>
    <r>
      <rPr>
        <sz val="8"/>
        <rFont val="Tahoma"/>
        <family val="2"/>
      </rPr>
      <t>Remove Existing and Install New Sewer Manhole Frame and Cover to Grade</t>
    </r>
  </si>
  <si>
    <r>
      <rPr>
        <sz val="8"/>
        <rFont val="Tahoma"/>
        <family val="2"/>
      </rPr>
      <t>Remove and Install New PVC Curb Drain Pipe</t>
    </r>
  </si>
  <si>
    <r>
      <rPr>
        <sz val="8"/>
        <rFont val="Tahoma"/>
        <family val="2"/>
      </rPr>
      <t>Furnish and Install Automatic Retractable Screen (ARS)</t>
    </r>
  </si>
  <si>
    <r>
      <rPr>
        <b/>
        <sz val="11"/>
        <rFont val="Verdana"/>
        <family val="2"/>
      </rPr>
      <t>Sub-Water</t>
    </r>
  </si>
  <si>
    <r>
      <rPr>
        <sz val="8"/>
        <rFont val="Tahoma"/>
        <family val="2"/>
      </rPr>
      <t>Remove Existing and Install New Fire Hydrant Assembly to Existing Gate Valve</t>
    </r>
  </si>
  <si>
    <r>
      <rPr>
        <sz val="8"/>
        <rFont val="Tahoma"/>
        <family val="2"/>
      </rPr>
      <t>Remove Existing and Install New Fire Hydrant Assembly, Gate Valve and Connect to Existing 12" Waterline per Std. B-702</t>
    </r>
  </si>
  <si>
    <r>
      <rPr>
        <sz val="8"/>
        <rFont val="Tahoma"/>
        <family val="2"/>
      </rPr>
      <t>Remove Existing and Install New Water Valve Slip Can and Lid to Grade Per Std B-752</t>
    </r>
  </si>
  <si>
    <r>
      <rPr>
        <sz val="8"/>
        <rFont val="Tahoma"/>
        <family val="2"/>
      </rPr>
      <t>Remove Existing and Install New Water Service, Meter and Box. 1" Meter.</t>
    </r>
  </si>
  <si>
    <r>
      <rPr>
        <sz val="8"/>
        <rFont val="Tahoma"/>
        <family val="2"/>
      </rPr>
      <t>Remove Existing and Install New Water Service, Meter and Box. 1-1/2" to 2" Meter.</t>
    </r>
  </si>
  <si>
    <r>
      <rPr>
        <sz val="8"/>
        <rFont val="Tahoma"/>
        <family val="2"/>
      </rPr>
      <t>Remove Existing 12in ACP Waterline with Steel Casing and Install 12in Ductile Iron Pipe Waterline</t>
    </r>
  </si>
  <si>
    <r>
      <rPr>
        <sz val="8"/>
        <rFont val="Tahoma"/>
        <family val="2"/>
      </rPr>
      <t>LS</t>
    </r>
  </si>
  <si>
    <r>
      <rPr>
        <sz val="8"/>
        <rFont val="Tahoma"/>
        <family val="2"/>
      </rPr>
      <t>Install New Air Vacuum Relief Assembly with Enclosure</t>
    </r>
  </si>
  <si>
    <r>
      <rPr>
        <sz val="8"/>
        <rFont val="Tahoma"/>
        <family val="2"/>
      </rPr>
      <t>Remove and Replace Backflow, Concrete Pad and Cage</t>
    </r>
  </si>
  <si>
    <r>
      <rPr>
        <sz val="8"/>
        <rFont val="Tahoma"/>
        <family val="2"/>
      </rPr>
      <t>Remove and Replace Pressure Vacuum Breaker</t>
    </r>
  </si>
  <si>
    <t>Grand Total:</t>
  </si>
  <si>
    <t>Bid Number: ER#25-066</t>
  </si>
  <si>
    <r>
      <t xml:space="preserve">Project Name: </t>
    </r>
    <r>
      <rPr>
        <sz val="12"/>
        <color theme="1"/>
        <rFont val="Verdana"/>
        <family val="2"/>
      </rPr>
      <t>GardenGrove_Harbor Blvd &amp; Garden Grove Blvd Intersection Improve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</si>
</sst>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Aptos Narrow"/>
      <family val="2"/>
      <scheme val="minor"/>
    </font>
    <font>
      <b/>
      <sz val="11"/>
      <name val="Verdana"/>
      <family val="2"/>
    </font>
    <font>
      <b/>
      <sz val="8"/>
      <name val="Tahoma"/>
      <family val="2"/>
    </font>
    <font>
      <sz val="8"/>
      <color rgb="FF000000"/>
      <name val="Tahoma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Aptos Narrow"/>
      <family val="2"/>
      <scheme val="minor"/>
    </font>
    <font>
      <sz val="9"/>
      <color theme="1"/>
      <name val="Verdana"/>
      <family val="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 indent="4"/>
    </xf>
    <xf numFmtId="0" fontId="2" fillId="0" borderId="3" xfId="0" applyFont="1" applyBorder="1" applyAlignment="1">
      <alignment horizontal="center" vertical="top" wrapText="1"/>
    </xf>
    <xf numFmtId="1" fontId="3" fillId="0" borderId="4" xfId="0" applyNumberFormat="1" applyFont="1" applyBorder="1" applyAlignment="1">
      <alignment horizontal="left" vertical="top" shrinkToFit="1"/>
    </xf>
    <xf numFmtId="1" fontId="3" fillId="0" borderId="5" xfId="0" applyNumberFormat="1" applyFont="1" applyBorder="1" applyAlignment="1">
      <alignment horizontal="left" vertical="top" shrinkToFit="1"/>
    </xf>
    <xf numFmtId="0" fontId="4" fillId="0" borderId="5" xfId="0" applyFont="1" applyBorder="1" applyAlignment="1">
      <alignment horizontal="left" vertical="top" wrapText="1"/>
    </xf>
    <xf numFmtId="2" fontId="3" fillId="0" borderId="5" xfId="0" applyNumberFormat="1" applyFont="1" applyBorder="1" applyAlignment="1">
      <alignment horizontal="right" vertical="top" shrinkToFit="1"/>
    </xf>
    <xf numFmtId="0" fontId="4" fillId="0" borderId="6" xfId="0" applyFont="1" applyBorder="1" applyAlignment="1">
      <alignment horizontal="left" vertical="top" wrapText="1"/>
    </xf>
    <xf numFmtId="44" fontId="3" fillId="0" borderId="1" xfId="0" applyNumberFormat="1" applyFont="1" applyBorder="1" applyAlignment="1">
      <alignment horizontal="left" vertical="center" wrapText="1"/>
    </xf>
    <xf numFmtId="44" fontId="3" fillId="0" borderId="2" xfId="0" applyNumberFormat="1" applyFont="1" applyBorder="1" applyAlignment="1">
      <alignment horizontal="left" vertical="center" wrapText="1"/>
    </xf>
    <xf numFmtId="44" fontId="3" fillId="0" borderId="7" xfId="0" applyNumberFormat="1" applyFont="1" applyBorder="1" applyAlignment="1">
      <alignment horizontal="left" vertical="center" wrapText="1"/>
    </xf>
    <xf numFmtId="1" fontId="3" fillId="0" borderId="8" xfId="0" applyNumberFormat="1" applyFont="1" applyBorder="1" applyAlignment="1">
      <alignment horizontal="left" vertical="top" shrinkToFit="1"/>
    </xf>
    <xf numFmtId="1" fontId="3" fillId="0" borderId="0" xfId="0" applyNumberFormat="1" applyFont="1" applyAlignment="1">
      <alignment horizontal="left" vertical="top" shrinkToFit="1"/>
    </xf>
    <xf numFmtId="0" fontId="4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right" vertical="top" shrinkToFit="1"/>
    </xf>
    <xf numFmtId="0" fontId="4" fillId="0" borderId="9" xfId="0" applyFont="1" applyBorder="1" applyAlignment="1">
      <alignment horizontal="left" vertical="top" wrapText="1"/>
    </xf>
    <xf numFmtId="44" fontId="3" fillId="0" borderId="1" xfId="0" applyNumberFormat="1" applyFont="1" applyBorder="1" applyAlignment="1">
      <alignment horizontal="left" wrapText="1"/>
    </xf>
    <xf numFmtId="44" fontId="3" fillId="0" borderId="2" xfId="0" applyNumberFormat="1" applyFont="1" applyBorder="1" applyAlignment="1">
      <alignment horizontal="left" wrapText="1"/>
    </xf>
    <xf numFmtId="1" fontId="3" fillId="0" borderId="10" xfId="0" applyNumberFormat="1" applyFont="1" applyBorder="1" applyAlignment="1">
      <alignment horizontal="left" vertical="top" shrinkToFit="1"/>
    </xf>
    <xf numFmtId="1" fontId="3" fillId="0" borderId="11" xfId="0" applyNumberFormat="1" applyFont="1" applyBorder="1" applyAlignment="1">
      <alignment horizontal="left" vertical="top" shrinkToFit="1"/>
    </xf>
    <xf numFmtId="0" fontId="4" fillId="0" borderId="11" xfId="0" applyFont="1" applyBorder="1" applyAlignment="1">
      <alignment horizontal="left" vertical="top" wrapText="1"/>
    </xf>
    <xf numFmtId="2" fontId="3" fillId="0" borderId="11" xfId="0" applyNumberFormat="1" applyFont="1" applyBorder="1" applyAlignment="1">
      <alignment horizontal="right" vertical="top" shrinkToFit="1"/>
    </xf>
    <xf numFmtId="0" fontId="4" fillId="0" borderId="12" xfId="0" applyFont="1" applyBorder="1" applyAlignment="1">
      <alignment horizontal="left" vertical="top" wrapText="1"/>
    </xf>
    <xf numFmtId="1" fontId="3" fillId="0" borderId="0" xfId="0" applyNumberFormat="1" applyFont="1" applyAlignment="1">
      <alignment horizontal="left" vertical="top" shrinkToFit="1"/>
    </xf>
    <xf numFmtId="0" fontId="4" fillId="0" borderId="0" xfId="0" applyFont="1" applyAlignment="1">
      <alignment horizontal="left" vertical="top" wrapText="1"/>
    </xf>
    <xf numFmtId="44" fontId="3" fillId="0" borderId="0" xfId="0" applyNumberFormat="1" applyFont="1" applyAlignment="1">
      <alignment horizontal="left" wrapText="1"/>
    </xf>
    <xf numFmtId="44" fontId="5" fillId="0" borderId="0" xfId="0" applyNumberFormat="1" applyFont="1" applyAlignment="1">
      <alignment horizontal="left" vertical="center" wrapText="1"/>
    </xf>
    <xf numFmtId="44" fontId="5" fillId="0" borderId="0" xfId="0" applyNumberFormat="1" applyFont="1" applyAlignment="1">
      <alignment horizontal="right" vertical="center" wrapText="1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3EBD-BC04-4AEC-86A2-CACC8814EB06}">
  <dimension ref="A1:J29"/>
  <sheetViews>
    <sheetView tabSelected="1" topLeftCell="A4" zoomScale="190" zoomScaleNormal="190" workbookViewId="0">
      <selection activeCell="M7" sqref="M7"/>
    </sheetView>
  </sheetViews>
  <sheetFormatPr defaultRowHeight="14.5" x14ac:dyDescent="0.35"/>
  <cols>
    <col min="1" max="1" width="5.08984375" bestFit="1" customWidth="1"/>
    <col min="2" max="2" width="6.08984375" customWidth="1"/>
    <col min="3" max="3" width="3.6328125" customWidth="1"/>
    <col min="5" max="5" width="41" customWidth="1"/>
    <col min="6" max="6" width="7.1796875" bestFit="1" customWidth="1"/>
    <col min="7" max="7" width="4.54296875" bestFit="1" customWidth="1"/>
    <col min="10" max="10" width="12.1796875" bestFit="1" customWidth="1"/>
  </cols>
  <sheetData>
    <row r="1" spans="1:10" ht="15.5" x14ac:dyDescent="0.35">
      <c r="A1" s="33" t="s">
        <v>33</v>
      </c>
    </row>
    <row r="2" spans="1:10" s="37" customFormat="1" ht="12" x14ac:dyDescent="0.3">
      <c r="A2" s="36" t="s">
        <v>32</v>
      </c>
    </row>
    <row r="3" spans="1:10" s="35" customFormat="1" ht="13.5" x14ac:dyDescent="0.3">
      <c r="A3" s="34"/>
    </row>
    <row r="4" spans="1:10" x14ac:dyDescent="0.3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35">
      <c r="A5" s="2" t="s">
        <v>1</v>
      </c>
      <c r="B5" s="3" t="s">
        <v>2</v>
      </c>
      <c r="C5" s="3"/>
      <c r="D5" s="3" t="s">
        <v>3</v>
      </c>
      <c r="E5" s="3"/>
      <c r="F5" s="4" t="s">
        <v>4</v>
      </c>
      <c r="G5" s="5" t="s">
        <v>5</v>
      </c>
      <c r="H5" s="6" t="s">
        <v>6</v>
      </c>
      <c r="I5" s="6"/>
      <c r="J5" s="7" t="s">
        <v>7</v>
      </c>
    </row>
    <row r="6" spans="1:10" x14ac:dyDescent="0.35">
      <c r="A6" s="8">
        <v>23</v>
      </c>
      <c r="B6" s="9">
        <v>23</v>
      </c>
      <c r="C6" s="9"/>
      <c r="D6" s="10" t="s">
        <v>8</v>
      </c>
      <c r="E6" s="10"/>
      <c r="F6" s="11">
        <v>3</v>
      </c>
      <c r="G6" s="12" t="s">
        <v>9</v>
      </c>
      <c r="H6" s="13">
        <v>15</v>
      </c>
      <c r="I6" s="14"/>
      <c r="J6" s="15">
        <f>H6*F6</f>
        <v>45</v>
      </c>
    </row>
    <row r="7" spans="1:10" x14ac:dyDescent="0.35">
      <c r="A7" s="16">
        <v>24</v>
      </c>
      <c r="B7" s="17">
        <v>24</v>
      </c>
      <c r="C7" s="17"/>
      <c r="D7" s="18" t="s">
        <v>10</v>
      </c>
      <c r="E7" s="18"/>
      <c r="F7" s="19">
        <v>190</v>
      </c>
      <c r="G7" s="20" t="s">
        <v>11</v>
      </c>
      <c r="H7" s="13">
        <v>950</v>
      </c>
      <c r="I7" s="14"/>
      <c r="J7" s="15">
        <f>H7*F7</f>
        <v>180500</v>
      </c>
    </row>
    <row r="8" spans="1:10" x14ac:dyDescent="0.35">
      <c r="A8" s="16">
        <v>25</v>
      </c>
      <c r="B8" s="17">
        <v>25</v>
      </c>
      <c r="C8" s="17"/>
      <c r="D8" s="18" t="s">
        <v>12</v>
      </c>
      <c r="E8" s="18"/>
      <c r="F8" s="19">
        <v>530</v>
      </c>
      <c r="G8" s="20" t="s">
        <v>11</v>
      </c>
      <c r="H8" s="21">
        <v>895</v>
      </c>
      <c r="I8" s="22"/>
      <c r="J8" s="15">
        <f t="shared" ref="J8:J15" si="0">H8*F8</f>
        <v>474350</v>
      </c>
    </row>
    <row r="9" spans="1:10" x14ac:dyDescent="0.35">
      <c r="A9" s="16">
        <v>26</v>
      </c>
      <c r="B9" s="17">
        <v>26</v>
      </c>
      <c r="C9" s="17"/>
      <c r="D9" s="18" t="s">
        <v>13</v>
      </c>
      <c r="E9" s="18"/>
      <c r="F9" s="19">
        <v>12</v>
      </c>
      <c r="G9" s="20" t="s">
        <v>11</v>
      </c>
      <c r="H9" s="21">
        <v>990</v>
      </c>
      <c r="I9" s="22"/>
      <c r="J9" s="15">
        <f t="shared" si="0"/>
        <v>11880</v>
      </c>
    </row>
    <row r="10" spans="1:10" ht="21" customHeight="1" x14ac:dyDescent="0.35">
      <c r="A10" s="16">
        <v>27</v>
      </c>
      <c r="B10" s="17">
        <v>27</v>
      </c>
      <c r="C10" s="17"/>
      <c r="D10" s="18" t="s">
        <v>14</v>
      </c>
      <c r="E10" s="18"/>
      <c r="F10" s="19">
        <v>20</v>
      </c>
      <c r="G10" s="20" t="s">
        <v>11</v>
      </c>
      <c r="H10" s="13">
        <v>795</v>
      </c>
      <c r="I10" s="14"/>
      <c r="J10" s="15">
        <f t="shared" si="0"/>
        <v>15900</v>
      </c>
    </row>
    <row r="11" spans="1:10" ht="22.5" customHeight="1" x14ac:dyDescent="0.35">
      <c r="A11" s="16">
        <v>28</v>
      </c>
      <c r="B11" s="17">
        <v>28</v>
      </c>
      <c r="C11" s="17"/>
      <c r="D11" s="18" t="s">
        <v>15</v>
      </c>
      <c r="E11" s="18"/>
      <c r="F11" s="19">
        <v>5</v>
      </c>
      <c r="G11" s="20" t="s">
        <v>9</v>
      </c>
      <c r="H11" s="13">
        <v>20000</v>
      </c>
      <c r="I11" s="14"/>
      <c r="J11" s="15">
        <f t="shared" si="0"/>
        <v>100000</v>
      </c>
    </row>
    <row r="12" spans="1:10" ht="22" customHeight="1" x14ac:dyDescent="0.35">
      <c r="A12" s="16">
        <v>29</v>
      </c>
      <c r="B12" s="17">
        <v>29</v>
      </c>
      <c r="C12" s="17"/>
      <c r="D12" s="18" t="s">
        <v>16</v>
      </c>
      <c r="E12" s="18"/>
      <c r="F12" s="19">
        <v>1</v>
      </c>
      <c r="G12" s="20" t="s">
        <v>9</v>
      </c>
      <c r="H12" s="13">
        <v>27500</v>
      </c>
      <c r="I12" s="14"/>
      <c r="J12" s="15">
        <f t="shared" si="0"/>
        <v>27500</v>
      </c>
    </row>
    <row r="13" spans="1:10" x14ac:dyDescent="0.35">
      <c r="A13" s="16">
        <v>30</v>
      </c>
      <c r="B13" s="17">
        <v>30</v>
      </c>
      <c r="C13" s="17"/>
      <c r="D13" s="18" t="s">
        <v>17</v>
      </c>
      <c r="E13" s="18"/>
      <c r="F13" s="19">
        <v>4</v>
      </c>
      <c r="G13" s="20" t="s">
        <v>9</v>
      </c>
      <c r="H13" s="13">
        <v>20000</v>
      </c>
      <c r="I13" s="14"/>
      <c r="J13" s="15">
        <f t="shared" si="0"/>
        <v>80000</v>
      </c>
    </row>
    <row r="14" spans="1:10" x14ac:dyDescent="0.35">
      <c r="A14" s="16">
        <v>46</v>
      </c>
      <c r="B14" s="17">
        <v>46</v>
      </c>
      <c r="C14" s="17"/>
      <c r="D14" s="18" t="s">
        <v>18</v>
      </c>
      <c r="E14" s="18"/>
      <c r="F14" s="19">
        <v>100</v>
      </c>
      <c r="G14" s="20" t="s">
        <v>11</v>
      </c>
      <c r="H14" s="21">
        <v>50</v>
      </c>
      <c r="I14" s="22"/>
      <c r="J14" s="15">
        <f t="shared" si="0"/>
        <v>5000</v>
      </c>
    </row>
    <row r="15" spans="1:10" x14ac:dyDescent="0.35">
      <c r="A15" s="23">
        <v>54</v>
      </c>
      <c r="B15" s="24">
        <v>54</v>
      </c>
      <c r="C15" s="24"/>
      <c r="D15" s="25" t="s">
        <v>19</v>
      </c>
      <c r="E15" s="25"/>
      <c r="F15" s="26">
        <v>2</v>
      </c>
      <c r="G15" s="27" t="s">
        <v>9</v>
      </c>
      <c r="H15" s="21">
        <v>20000</v>
      </c>
      <c r="I15" s="22"/>
      <c r="J15" s="15">
        <f t="shared" si="0"/>
        <v>40000</v>
      </c>
    </row>
    <row r="16" spans="1:10" x14ac:dyDescent="0.35">
      <c r="A16" s="28"/>
      <c r="B16" s="28"/>
      <c r="C16" s="28"/>
      <c r="D16" s="29"/>
      <c r="E16" s="29"/>
      <c r="F16" s="19"/>
      <c r="G16" s="29"/>
      <c r="H16" s="30"/>
      <c r="I16" s="30"/>
      <c r="J16" s="31">
        <f>SUM(J6:J15)</f>
        <v>935175</v>
      </c>
    </row>
    <row r="17" spans="1:10" x14ac:dyDescent="0.35">
      <c r="A17" s="1" t="s">
        <v>20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5">
      <c r="A18" s="2" t="s">
        <v>1</v>
      </c>
      <c r="B18" s="3" t="s">
        <v>2</v>
      </c>
      <c r="C18" s="3"/>
      <c r="D18" s="3" t="s">
        <v>3</v>
      </c>
      <c r="E18" s="3"/>
      <c r="F18" s="4" t="s">
        <v>4</v>
      </c>
      <c r="G18" s="5" t="s">
        <v>5</v>
      </c>
      <c r="H18" s="6" t="s">
        <v>6</v>
      </c>
      <c r="I18" s="6"/>
      <c r="J18" s="7" t="s">
        <v>7</v>
      </c>
    </row>
    <row r="19" spans="1:10" ht="19.5" customHeight="1" x14ac:dyDescent="0.35">
      <c r="A19" s="8">
        <v>34</v>
      </c>
      <c r="B19" s="9">
        <v>34</v>
      </c>
      <c r="C19" s="9"/>
      <c r="D19" s="10" t="s">
        <v>21</v>
      </c>
      <c r="E19" s="10"/>
      <c r="F19" s="11">
        <v>5</v>
      </c>
      <c r="G19" s="12" t="s">
        <v>9</v>
      </c>
      <c r="H19" s="13">
        <v>30000</v>
      </c>
      <c r="I19" s="14"/>
      <c r="J19" s="15">
        <f>H19*F19</f>
        <v>150000</v>
      </c>
    </row>
    <row r="20" spans="1:10" ht="19.5" customHeight="1" x14ac:dyDescent="0.35">
      <c r="A20" s="16">
        <v>35</v>
      </c>
      <c r="B20" s="17">
        <v>35</v>
      </c>
      <c r="C20" s="17"/>
      <c r="D20" s="18" t="s">
        <v>22</v>
      </c>
      <c r="E20" s="18"/>
      <c r="F20" s="19">
        <v>1</v>
      </c>
      <c r="G20" s="20" t="s">
        <v>9</v>
      </c>
      <c r="H20" s="13">
        <v>35000</v>
      </c>
      <c r="I20" s="14"/>
      <c r="J20" s="15">
        <f>H20*F20</f>
        <v>35000</v>
      </c>
    </row>
    <row r="21" spans="1:10" ht="20.5" customHeight="1" x14ac:dyDescent="0.35">
      <c r="A21" s="16">
        <v>36</v>
      </c>
      <c r="B21" s="17">
        <v>36</v>
      </c>
      <c r="C21" s="17"/>
      <c r="D21" s="18" t="s">
        <v>23</v>
      </c>
      <c r="E21" s="18"/>
      <c r="F21" s="19">
        <v>30</v>
      </c>
      <c r="G21" s="20" t="s">
        <v>9</v>
      </c>
      <c r="H21" s="13">
        <v>1200</v>
      </c>
      <c r="I21" s="14"/>
      <c r="J21" s="15">
        <f t="shared" ref="J21:J27" si="1">H21*F21</f>
        <v>36000</v>
      </c>
    </row>
    <row r="22" spans="1:10" x14ac:dyDescent="0.35">
      <c r="A22" s="16">
        <v>37</v>
      </c>
      <c r="B22" s="17">
        <v>37</v>
      </c>
      <c r="C22" s="17"/>
      <c r="D22" s="18" t="s">
        <v>24</v>
      </c>
      <c r="E22" s="18"/>
      <c r="F22" s="19">
        <v>2</v>
      </c>
      <c r="G22" s="20" t="s">
        <v>9</v>
      </c>
      <c r="H22" s="21">
        <v>15000</v>
      </c>
      <c r="I22" s="22"/>
      <c r="J22" s="15">
        <f t="shared" si="1"/>
        <v>30000</v>
      </c>
    </row>
    <row r="23" spans="1:10" ht="20.5" customHeight="1" x14ac:dyDescent="0.35">
      <c r="A23" s="16">
        <v>38</v>
      </c>
      <c r="B23" s="17">
        <v>38</v>
      </c>
      <c r="C23" s="17"/>
      <c r="D23" s="18" t="s">
        <v>25</v>
      </c>
      <c r="E23" s="18"/>
      <c r="F23" s="19">
        <v>5</v>
      </c>
      <c r="G23" s="20" t="s">
        <v>9</v>
      </c>
      <c r="H23" s="13">
        <v>25000</v>
      </c>
      <c r="I23" s="14"/>
      <c r="J23" s="15">
        <f t="shared" si="1"/>
        <v>125000</v>
      </c>
    </row>
    <row r="24" spans="1:10" ht="23" customHeight="1" x14ac:dyDescent="0.35">
      <c r="A24" s="16">
        <v>39</v>
      </c>
      <c r="B24" s="17">
        <v>39</v>
      </c>
      <c r="C24" s="17"/>
      <c r="D24" s="18" t="s">
        <v>26</v>
      </c>
      <c r="E24" s="18"/>
      <c r="F24" s="19">
        <v>1</v>
      </c>
      <c r="G24" s="20" t="s">
        <v>27</v>
      </c>
      <c r="H24" s="13"/>
      <c r="I24" s="14"/>
      <c r="J24" s="15">
        <f t="shared" si="1"/>
        <v>0</v>
      </c>
    </row>
    <row r="25" spans="1:10" x14ac:dyDescent="0.35">
      <c r="A25" s="16">
        <v>40</v>
      </c>
      <c r="B25" s="17">
        <v>40</v>
      </c>
      <c r="C25" s="17"/>
      <c r="D25" s="18" t="s">
        <v>28</v>
      </c>
      <c r="E25" s="18"/>
      <c r="F25" s="19">
        <v>1</v>
      </c>
      <c r="G25" s="20" t="s">
        <v>9</v>
      </c>
      <c r="H25" s="21">
        <v>15000</v>
      </c>
      <c r="I25" s="22"/>
      <c r="J25" s="15">
        <f t="shared" si="1"/>
        <v>15000</v>
      </c>
    </row>
    <row r="26" spans="1:10" x14ac:dyDescent="0.35">
      <c r="A26" s="16">
        <v>49</v>
      </c>
      <c r="B26" s="17">
        <v>49</v>
      </c>
      <c r="C26" s="17"/>
      <c r="D26" s="18" t="s">
        <v>29</v>
      </c>
      <c r="E26" s="18"/>
      <c r="F26" s="19">
        <v>5</v>
      </c>
      <c r="G26" s="20" t="s">
        <v>9</v>
      </c>
      <c r="H26" s="21">
        <v>6000</v>
      </c>
      <c r="I26" s="22"/>
      <c r="J26" s="15">
        <f t="shared" si="1"/>
        <v>30000</v>
      </c>
    </row>
    <row r="27" spans="1:10" x14ac:dyDescent="0.35">
      <c r="A27" s="23">
        <v>50</v>
      </c>
      <c r="B27" s="24">
        <v>50</v>
      </c>
      <c r="C27" s="24"/>
      <c r="D27" s="25" t="s">
        <v>30</v>
      </c>
      <c r="E27" s="25"/>
      <c r="F27" s="26">
        <v>1</v>
      </c>
      <c r="G27" s="27" t="s">
        <v>9</v>
      </c>
      <c r="H27" s="21">
        <v>5000</v>
      </c>
      <c r="I27" s="22"/>
      <c r="J27" s="15">
        <f t="shared" si="1"/>
        <v>5000</v>
      </c>
    </row>
    <row r="28" spans="1:10" x14ac:dyDescent="0.35">
      <c r="A28" s="28"/>
      <c r="B28" s="28"/>
      <c r="C28" s="28"/>
      <c r="D28" s="29"/>
      <c r="E28" s="29"/>
      <c r="F28" s="19"/>
      <c r="G28" s="29"/>
      <c r="H28" s="30"/>
      <c r="I28" s="30"/>
      <c r="J28" s="31">
        <f>SUM(J19:J27)</f>
        <v>426000</v>
      </c>
    </row>
    <row r="29" spans="1:10" x14ac:dyDescent="0.35">
      <c r="A29" s="28"/>
      <c r="B29" s="28"/>
      <c r="C29" s="28"/>
      <c r="D29" s="29"/>
      <c r="E29" s="29"/>
      <c r="F29" s="19"/>
      <c r="G29" s="29"/>
      <c r="H29" s="32" t="s">
        <v>31</v>
      </c>
      <c r="I29" s="32"/>
      <c r="J29" s="31">
        <f>J28+J16</f>
        <v>1361175</v>
      </c>
    </row>
  </sheetData>
  <mergeCells count="66">
    <mergeCell ref="B27:C27"/>
    <mergeCell ref="D27:E27"/>
    <mergeCell ref="H27:I27"/>
    <mergeCell ref="H29:I29"/>
    <mergeCell ref="B25:C25"/>
    <mergeCell ref="D25:E25"/>
    <mergeCell ref="H25:I25"/>
    <mergeCell ref="B26:C26"/>
    <mergeCell ref="D26:E26"/>
    <mergeCell ref="H26:I26"/>
    <mergeCell ref="B23:C23"/>
    <mergeCell ref="D23:E23"/>
    <mergeCell ref="H23:I23"/>
    <mergeCell ref="B24:C24"/>
    <mergeCell ref="D24:E24"/>
    <mergeCell ref="H24:I24"/>
    <mergeCell ref="B21:C21"/>
    <mergeCell ref="D21:E21"/>
    <mergeCell ref="H21:I21"/>
    <mergeCell ref="B22:C22"/>
    <mergeCell ref="D22:E22"/>
    <mergeCell ref="H22:I22"/>
    <mergeCell ref="B19:C19"/>
    <mergeCell ref="D19:E19"/>
    <mergeCell ref="H19:I19"/>
    <mergeCell ref="B20:C20"/>
    <mergeCell ref="D20:E20"/>
    <mergeCell ref="H20:I20"/>
    <mergeCell ref="B15:C15"/>
    <mergeCell ref="D15:E15"/>
    <mergeCell ref="H15:I15"/>
    <mergeCell ref="A17:J17"/>
    <mergeCell ref="B18:C18"/>
    <mergeCell ref="D18:E18"/>
    <mergeCell ref="H18:I18"/>
    <mergeCell ref="B13:C13"/>
    <mergeCell ref="D13:E13"/>
    <mergeCell ref="H13:I13"/>
    <mergeCell ref="B14:C14"/>
    <mergeCell ref="D14:E14"/>
    <mergeCell ref="H14:I14"/>
    <mergeCell ref="B11:C11"/>
    <mergeCell ref="D11:E11"/>
    <mergeCell ref="H11:I11"/>
    <mergeCell ref="B12:C12"/>
    <mergeCell ref="D12:E12"/>
    <mergeCell ref="H12:I12"/>
    <mergeCell ref="B9:C9"/>
    <mergeCell ref="D9:E9"/>
    <mergeCell ref="H9:I9"/>
    <mergeCell ref="B10:C10"/>
    <mergeCell ref="D10:E10"/>
    <mergeCell ref="H10:I10"/>
    <mergeCell ref="B7:C7"/>
    <mergeCell ref="D7:E7"/>
    <mergeCell ref="H7:I7"/>
    <mergeCell ref="B8:C8"/>
    <mergeCell ref="D8:E8"/>
    <mergeCell ref="H8:I8"/>
    <mergeCell ref="A4:J4"/>
    <mergeCell ref="B5:C5"/>
    <mergeCell ref="D5:E5"/>
    <mergeCell ref="H5:I5"/>
    <mergeCell ref="B6:C6"/>
    <mergeCell ref="D6:E6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Pfister</dc:creator>
  <cp:lastModifiedBy>Russell Pfister</cp:lastModifiedBy>
  <dcterms:created xsi:type="dcterms:W3CDTF">2025-05-14T20:00:21Z</dcterms:created>
  <dcterms:modified xsi:type="dcterms:W3CDTF">2025-05-14T20:11:47Z</dcterms:modified>
</cp:coreProperties>
</file>