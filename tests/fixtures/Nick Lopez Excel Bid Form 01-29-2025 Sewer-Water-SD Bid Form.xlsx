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sse\Downloads\cp\kb homes\"/>
    </mc:Choice>
  </mc:AlternateContent>
  <xr:revisionPtr revIDLastSave="0" documentId="8_{613FB7E3-F7B8-43BB-9107-DE2C92D0D06E}" xr6:coauthVersionLast="47" xr6:coauthVersionMax="47" xr10:uidLastSave="{00000000-0000-0000-0000-000000000000}"/>
  <bookViews>
    <workbookView xWindow="2200" yWindow="2200" windowWidth="19450" windowHeight="15780" xr2:uid="{D8C9E12B-A662-4195-9436-B03B4B5248AB}"/>
  </bookViews>
  <sheets>
    <sheet name="Southridge-Sewer-Water" sheetId="1" r:id="rId1"/>
  </sheets>
  <definedNames>
    <definedName name="_xlnm.Print_Area" localSheetId="0">'Southridge-Sewer-Water'!$B$1:$H$61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49" i="1" l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5" i="1"/>
  <c r="F64" i="1"/>
  <c r="F48" i="1"/>
  <c r="G13" i="1"/>
  <c r="G12" i="1"/>
  <c r="G11" i="1"/>
  <c r="G31" i="1"/>
  <c r="H73" i="1"/>
  <c r="H72" i="1" s="1"/>
  <c r="F7" i="1" s="1"/>
  <c r="G81" i="1"/>
  <c r="G41" i="1"/>
  <c r="G40" i="1"/>
  <c r="G6" i="1"/>
  <c r="G5" i="1"/>
  <c r="G79" i="1"/>
  <c r="G80" i="1"/>
  <c r="G78" i="1"/>
  <c r="G77" i="1"/>
  <c r="G76" i="1"/>
  <c r="G75" i="1"/>
  <c r="G74" i="1"/>
  <c r="G72" i="1"/>
  <c r="G73" i="1"/>
  <c r="F68" i="1" l="1"/>
  <c r="G16" i="1"/>
  <c r="G82" i="1"/>
  <c r="G22" i="1"/>
  <c r="G36" i="1"/>
  <c r="G39" i="1" l="1"/>
  <c r="G38" i="1"/>
  <c r="G37" i="1"/>
  <c r="G35" i="1"/>
  <c r="G34" i="1"/>
  <c r="G33" i="1"/>
  <c r="G32" i="1"/>
  <c r="G29" i="1"/>
  <c r="G28" i="1"/>
  <c r="G21" i="1"/>
  <c r="G20" i="1"/>
  <c r="G19" i="1"/>
  <c r="G18" i="1"/>
  <c r="G25" i="1" l="1"/>
  <c r="G44" i="1"/>
  <c r="G7" i="1"/>
  <c r="G8" i="1" s="1"/>
  <c r="G84" i="1" l="1"/>
</calcChain>
</file>

<file path=xl/sharedStrings.xml><?xml version="1.0" encoding="utf-8"?>
<sst xmlns="http://schemas.openxmlformats.org/spreadsheetml/2006/main" count="153" uniqueCount="75">
  <si>
    <t>Task</t>
  </si>
  <si>
    <t>Cost Code</t>
  </si>
  <si>
    <t>QTY</t>
  </si>
  <si>
    <t>UOM</t>
  </si>
  <si>
    <t>Unit Price</t>
  </si>
  <si>
    <t>Total</t>
  </si>
  <si>
    <t>Notes</t>
  </si>
  <si>
    <t>LF.</t>
  </si>
  <si>
    <t>EA.</t>
  </si>
  <si>
    <t>Mobilization</t>
  </si>
  <si>
    <t>LF</t>
  </si>
  <si>
    <t>EA</t>
  </si>
  <si>
    <t>LS</t>
  </si>
  <si>
    <t>General Items</t>
  </si>
  <si>
    <t>Traffic Control</t>
  </si>
  <si>
    <t>Wrap</t>
  </si>
  <si>
    <t>Wrap   3.5%</t>
  </si>
  <si>
    <t>Bid</t>
  </si>
  <si>
    <t>RAISE MANHOLE TO GRADE (1ST RAISE)</t>
  </si>
  <si>
    <t>CLEAN &amp; VIDEO</t>
  </si>
  <si>
    <t>TEST &amp; VIDEO</t>
  </si>
  <si>
    <t>INSTALL 8" SDR-35 PVC SEWER MAIN</t>
  </si>
  <si>
    <t>INSTALL 6" SDR-35 PVC SEWER MAIN</t>
  </si>
  <si>
    <t>INSTALL 4" SDR-35 PVC SEWER MAIN</t>
  </si>
  <si>
    <t>INSTALL 48" STANDARD PRECAST CONCRETE SEWER MANHOLE PER CITY OF FONTANA STD. PLAN NO. 2000,2001, &amp; 2003; SEE DETAIL ON SHEET 21</t>
  </si>
  <si>
    <t>INSTALL 8" SEWER TERMINAL CLEANOUT PER CITY OF FONTANA STD. PLAN NO. 2004 (TRAFFIC RATED); SEE DETAILS ON SHEET 21</t>
  </si>
  <si>
    <t>Construct 24" RCP (D-LOAD PER PROFILE)</t>
  </si>
  <si>
    <t>Construct 18" RCP (D-LOAD PER PROFILE)</t>
  </si>
  <si>
    <t>CONSTRUCT MANHOLE STRUCTURE PIP TO PIPE PER CITY STD. 3012</t>
  </si>
  <si>
    <t>CONSTRUCT CONCRETE COLLAR PER CITY STD. 3022</t>
  </si>
  <si>
    <t>CONSTRUCT 48"X 48" GRATE CONC. INLET STRUCTURE PER DETAIL "B" ON SHEET 4</t>
  </si>
  <si>
    <t>CONSTRUCT 36" CSP RISER PER DETAIL "A" ON SHEET 4</t>
  </si>
  <si>
    <t>CONSTRUCT BLANKET PROTECTION FOR PIPES PER SPPWC STD. 225-3</t>
  </si>
  <si>
    <t>INSTALL ANTI-SEEPAGE COLLARS; SEE DETAIL "D" ON SHEET 5</t>
  </si>
  <si>
    <t>-</t>
  </si>
  <si>
    <t>SOUTHRIDGE PROJECT Wet Utility Improvements Tract PARCEL MAP 20565</t>
  </si>
  <si>
    <t>INSTALL 8" FIRE WATER METER BY FONTANA WATER COMPANY</t>
  </si>
  <si>
    <t>INSTALL 8" ZURN DOUBLE CHECK DETECTOR ASSEMBLT MODEL 3500ASTDA OR APPROVED EQUAL; SEE DETAIL  "B" ON SHEET 11</t>
  </si>
  <si>
    <t>INSTALL WET BARREL CLOW MODEL 860 FIRE HYDRANT 6"X4"X(2)2-1/2" OR APPROVED EQUAL; SEE DETAIL ON SHEET 11</t>
  </si>
  <si>
    <t>CONSTRUCT 4" CONCRETE PROTECTION PAD FOR FIRE HYDRANT, 2' X 2'</t>
  </si>
  <si>
    <t>INSTALL 6" GATE VALVE ASSEMBLY AND VALVE BOX</t>
  </si>
  <si>
    <t>CONSTRUCT THRUST BLOCK PER NFPA 24, SEE DETAILS "C" ON SHEET 11</t>
  </si>
  <si>
    <t>INSTALL 8" -90* PVC ELBOW</t>
  </si>
  <si>
    <t>INSTALL FIRE HYDRANT BLUE REFLECTIVE DOT PER SBCFD STD. W-2; SEE DETAILS ON SHEET 12</t>
  </si>
  <si>
    <t>INSTALL 8" PVC TEE, CLASS 200 WATER MAIN</t>
  </si>
  <si>
    <t>INSTALL 6" AWWA C900, CLASS 200 WATER MAIN</t>
  </si>
  <si>
    <t>INSTALL 8"- 45* PVC ELBOW</t>
  </si>
  <si>
    <t>INSTALL 8"- 22* PVC ELBOW</t>
  </si>
  <si>
    <t>PROPOSED WATER METER &amp; REDUCED PRESSURE BACKFLOW ASSEMBLY PER SEPARATE WATER PLAN</t>
  </si>
  <si>
    <t>INSTALL 8" AWWA C900, CLASS 200 WATER MAIN</t>
  </si>
  <si>
    <t>PUBLIC SEWER</t>
  </si>
  <si>
    <t>INSTALL 8" SDR-26 PVC SEWER MAIN PER CITY OF FONTANA STD. PLAN NO 2009</t>
  </si>
  <si>
    <t>CONSTRUCT 48" PRECAST CONCRETE MANHOLE PER IEUA STD. NO C-MH-001, SEE DETAILS ON SHEET 3</t>
  </si>
  <si>
    <t>TRENCH PAVEMENT REPAIR PER CITY OF FONTANA STD. 1008</t>
  </si>
  <si>
    <t>SF</t>
  </si>
  <si>
    <t>ONSITE SEWER</t>
  </si>
  <si>
    <t>ONSITE FIRE WATER</t>
  </si>
  <si>
    <t>PUBLIC STORM DRAINS</t>
  </si>
  <si>
    <t>PRIVATE WATER</t>
  </si>
  <si>
    <t>INSTALL 3" NEPTUNE 10 ULTRASONIC WATER METER, INSTALLED BY FONTANA WATER COMPANY; SEE DETAIL ON SHEET 11</t>
  </si>
  <si>
    <t>INSTALL 6" WILKINS MODEL 375A REDUCED PRESSURE BACK FLOW ASSEMBLY OR APPROVED EQUAL; SEE DETAIL ON SHEET 11</t>
  </si>
  <si>
    <t>INSTALL 6" AWWA PVC DR-21 CL-900 WATER LINE.</t>
  </si>
  <si>
    <t>INSTALL 4" AWWA PVC DR-21 CL-900 WATER LINE.</t>
  </si>
  <si>
    <t>INSTALL 1" PVC SCH. 40 WATER SERVICE LATERAL FOR 1" SUBMETER</t>
  </si>
  <si>
    <t>INSTALL 1" PRESSURE REGULATING VALVE, ZURN WILKINS MODEL NR3XL OR APPROVED EQUAL; SEE DETAIL ON SHEET 12</t>
  </si>
  <si>
    <t>INSTALL 6X4" PVC TEE</t>
  </si>
  <si>
    <t>INSTALL 6" THRUST BLOCK PER STD. H-3A &amp; H-3B; SEE DETAIL ON SHEET 12</t>
  </si>
  <si>
    <t>PROPOSED FIRE WATER METER &amp; DOUBLE CHECK ASSEMBLY PER SEPARATE FIRE UNDERGROUND PLAN</t>
  </si>
  <si>
    <t>INSTALL REDUCER; SEE SIZE PER PLAN</t>
  </si>
  <si>
    <t>INSTALL 4" BLOWOFF ASSEMBLY P.V.C. MAINS PER STD. H-7A; SEE DETAIL ON SHEET 12</t>
  </si>
  <si>
    <t>INSTALL 1" SUB WATER METER, NEPTUNE T-10 OR APPROVED EQUAL SEE DETAIL ON SHEET 11</t>
  </si>
  <si>
    <t>INSTALL 6" GATE VALVE AND VALVE BOX ASSEMBLY PER STD. H-11 OR APPROVED EQUAL; SEE DETAIL ON SHEET 12</t>
  </si>
  <si>
    <t>INSTALL PVC ELBOW; SIZE &amp; ANGLE PER PLAN</t>
  </si>
  <si>
    <t>INSTALL 6X6 PVC TEE</t>
  </si>
  <si>
    <t>INSTALL 4" THRUST BLOCK PER STD. H-3A &amp; H-3B; SEE DETAIL ON SHEET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</si>
</sst>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88">
    <xf numFmtId="0" fontId="0" fillId="0" borderId="0" xfId="0"/>
    <xf numFmtId="0" fontId="5" fillId="0" borderId="14" xfId="0" applyFont="1" applyBorder="1" applyAlignment="1">
      <alignment horizontal="left" vertical="top" wrapText="1"/>
    </xf>
    <xf numFmtId="0" fontId="5" fillId="0" borderId="0" xfId="0" applyFont="1"/>
    <xf numFmtId="0" fontId="6" fillId="0" borderId="14" xfId="0" applyFont="1" applyBorder="1" applyAlignment="1">
      <alignment horizontal="left" wrapText="1"/>
    </xf>
    <xf numFmtId="0" fontId="4" fillId="3" borderId="14" xfId="0" applyFont="1" applyFill="1" applyBorder="1" applyAlignment="1">
      <alignment horizontal="center" wrapText="1"/>
    </xf>
    <xf numFmtId="0" fontId="4" fillId="3" borderId="14" xfId="0" applyFont="1" applyFill="1" applyBorder="1" applyAlignment="1">
      <alignment horizontal="center"/>
    </xf>
    <xf numFmtId="0" fontId="6" fillId="0" borderId="14" xfId="0" applyFont="1" applyBorder="1" applyAlignment="1">
      <alignment horizontal="center" vertical="top" wrapText="1"/>
    </xf>
    <xf numFmtId="0" fontId="6" fillId="3" borderId="14" xfId="0" applyFont="1" applyFill="1" applyBorder="1" applyAlignment="1">
      <alignment horizontal="left" wrapText="1"/>
    </xf>
    <xf numFmtId="0" fontId="6" fillId="0" borderId="14" xfId="0" applyFont="1" applyBorder="1" applyAlignment="1">
      <alignment horizontal="center" vertical="center" wrapText="1"/>
    </xf>
    <xf numFmtId="0" fontId="5" fillId="3" borderId="14" xfId="0" applyFont="1" applyFill="1" applyBorder="1"/>
    <xf numFmtId="3" fontId="5" fillId="3" borderId="14" xfId="1" applyNumberFormat="1" applyFont="1" applyFill="1" applyBorder="1" applyAlignment="1">
      <alignment horizontal="center"/>
    </xf>
    <xf numFmtId="44" fontId="5" fillId="3" borderId="14" xfId="2" applyFont="1" applyFill="1" applyBorder="1"/>
    <xf numFmtId="0" fontId="5" fillId="0" borderId="14" xfId="0" applyFont="1" applyBorder="1" applyAlignment="1">
      <alignment vertical="top" wrapText="1"/>
    </xf>
    <xf numFmtId="0" fontId="5" fillId="0" borderId="14" xfId="0" applyFont="1" applyBorder="1"/>
    <xf numFmtId="44" fontId="5" fillId="0" borderId="14" xfId="2" applyFont="1" applyBorder="1" applyAlignment="1">
      <alignment vertical="top"/>
    </xf>
    <xf numFmtId="0" fontId="7" fillId="0" borderId="14" xfId="3" applyFont="1" applyFill="1" applyBorder="1"/>
    <xf numFmtId="0" fontId="4" fillId="3" borderId="7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 wrapText="1"/>
    </xf>
    <xf numFmtId="0" fontId="4" fillId="3" borderId="8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 wrapText="1"/>
    </xf>
    <xf numFmtId="0" fontId="6" fillId="0" borderId="5" xfId="0" applyFont="1" applyBorder="1" applyAlignment="1">
      <alignment horizontal="center" vertical="center" wrapText="1"/>
    </xf>
    <xf numFmtId="0" fontId="5" fillId="3" borderId="6" xfId="0" applyFont="1" applyFill="1" applyBorder="1"/>
    <xf numFmtId="3" fontId="5" fillId="3" borderId="11" xfId="1" applyNumberFormat="1" applyFont="1" applyFill="1" applyBorder="1" applyAlignment="1">
      <alignment horizontal="center"/>
    </xf>
    <xf numFmtId="44" fontId="5" fillId="3" borderId="13" xfId="2" applyFont="1" applyFill="1" applyBorder="1"/>
    <xf numFmtId="44" fontId="5" fillId="3" borderId="12" xfId="2" applyFont="1" applyFill="1" applyBorder="1"/>
    <xf numFmtId="44" fontId="5" fillId="3" borderId="0" xfId="2" applyFont="1" applyFill="1" applyBorder="1"/>
    <xf numFmtId="0" fontId="5" fillId="3" borderId="4" xfId="0" applyFont="1" applyFill="1" applyBorder="1"/>
    <xf numFmtId="0" fontId="5" fillId="3" borderId="0" xfId="0" applyFont="1" applyFill="1"/>
    <xf numFmtId="0" fontId="4" fillId="3" borderId="14" xfId="0" applyFont="1" applyFill="1" applyBorder="1" applyAlignment="1">
      <alignment horizontal="right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44" fontId="5" fillId="0" borderId="0" xfId="0" applyNumberFormat="1" applyFont="1"/>
    <xf numFmtId="164" fontId="10" fillId="0" borderId="0" xfId="2" applyNumberFormat="1" applyFont="1" applyFill="1" applyBorder="1" applyAlignment="1">
      <alignment horizontal="center"/>
    </xf>
    <xf numFmtId="0" fontId="5" fillId="0" borderId="14" xfId="0" applyFont="1" applyBorder="1" applyAlignment="1">
      <alignment vertical="top"/>
    </xf>
    <xf numFmtId="44" fontId="5" fillId="0" borderId="14" xfId="0" applyNumberFormat="1" applyFont="1" applyBorder="1" applyAlignment="1">
      <alignment horizontal="left" vertical="top" wrapText="1"/>
    </xf>
    <xf numFmtId="0" fontId="5" fillId="4" borderId="14" xfId="0" applyFont="1" applyFill="1" applyBorder="1" applyAlignment="1">
      <alignment horizontal="left" wrapText="1"/>
    </xf>
    <xf numFmtId="0" fontId="6" fillId="4" borderId="14" xfId="0" applyFont="1" applyFill="1" applyBorder="1" applyAlignment="1">
      <alignment horizontal="left" wrapText="1"/>
    </xf>
    <xf numFmtId="0" fontId="5" fillId="4" borderId="14" xfId="0" applyFont="1" applyFill="1" applyBorder="1" applyAlignment="1">
      <alignment horizontal="center" vertical="top" wrapText="1"/>
    </xf>
    <xf numFmtId="44" fontId="6" fillId="4" borderId="14" xfId="0" applyNumberFormat="1" applyFont="1" applyFill="1" applyBorder="1" applyAlignment="1">
      <alignment horizontal="left" vertical="top" wrapText="1"/>
    </xf>
    <xf numFmtId="0" fontId="7" fillId="4" borderId="14" xfId="3" applyNumberFormat="1" applyFont="1" applyFill="1" applyBorder="1" applyAlignment="1">
      <alignment horizontal="left" vertical="center" wrapText="1"/>
    </xf>
    <xf numFmtId="0" fontId="7" fillId="4" borderId="14" xfId="3" applyFont="1" applyFill="1" applyBorder="1"/>
    <xf numFmtId="3" fontId="5" fillId="4" borderId="14" xfId="1" applyNumberFormat="1" applyFont="1" applyFill="1" applyBorder="1" applyAlignment="1">
      <alignment horizontal="center" vertical="top"/>
    </xf>
    <xf numFmtId="44" fontId="5" fillId="4" borderId="14" xfId="2" applyFont="1" applyFill="1" applyBorder="1" applyAlignment="1">
      <alignment vertical="top"/>
    </xf>
    <xf numFmtId="0" fontId="5" fillId="4" borderId="14" xfId="0" applyFont="1" applyFill="1" applyBorder="1" applyAlignment="1">
      <alignment horizontal="left" vertical="center" wrapText="1" indent="1"/>
    </xf>
    <xf numFmtId="0" fontId="5" fillId="4" borderId="14" xfId="0" applyFont="1" applyFill="1" applyBorder="1"/>
    <xf numFmtId="3" fontId="5" fillId="4" borderId="14" xfId="1" applyNumberFormat="1" applyFont="1" applyFill="1" applyBorder="1" applyAlignment="1">
      <alignment horizontal="center"/>
    </xf>
    <xf numFmtId="44" fontId="5" fillId="4" borderId="14" xfId="2" applyFont="1" applyFill="1" applyBorder="1"/>
    <xf numFmtId="0" fontId="5" fillId="4" borderId="0" xfId="0" applyFont="1" applyFill="1"/>
    <xf numFmtId="3" fontId="5" fillId="4" borderId="0" xfId="1" applyNumberFormat="1" applyFont="1" applyFill="1" applyBorder="1" applyAlignment="1">
      <alignment horizontal="center"/>
    </xf>
    <xf numFmtId="44" fontId="5" fillId="4" borderId="0" xfId="2" applyFont="1" applyFill="1" applyBorder="1"/>
    <xf numFmtId="0" fontId="4" fillId="3" borderId="0" xfId="0" applyFont="1" applyFill="1" applyAlignment="1">
      <alignment horizontal="center" wrapText="1"/>
    </xf>
    <xf numFmtId="0" fontId="4" fillId="3" borderId="0" xfId="0" applyFont="1" applyFill="1" applyAlignment="1">
      <alignment horizontal="center"/>
    </xf>
    <xf numFmtId="164" fontId="4" fillId="3" borderId="0" xfId="2" applyNumberFormat="1" applyFont="1" applyFill="1" applyBorder="1" applyAlignment="1">
      <alignment horizontal="center"/>
    </xf>
    <xf numFmtId="0" fontId="5" fillId="5" borderId="14" xfId="0" applyFont="1" applyFill="1" applyBorder="1" applyAlignment="1">
      <alignment vertical="top" wrapText="1"/>
    </xf>
    <xf numFmtId="0" fontId="5" fillId="5" borderId="14" xfId="0" applyFont="1" applyFill="1" applyBorder="1"/>
    <xf numFmtId="3" fontId="5" fillId="5" borderId="14" xfId="1" applyNumberFormat="1" applyFont="1" applyFill="1" applyBorder="1" applyAlignment="1">
      <alignment horizontal="center" vertical="top"/>
    </xf>
    <xf numFmtId="44" fontId="5" fillId="5" borderId="14" xfId="2" applyFont="1" applyFill="1" applyBorder="1" applyAlignment="1">
      <alignment horizontal="center" vertical="top"/>
    </xf>
    <xf numFmtId="44" fontId="5" fillId="5" borderId="14" xfId="2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0" xfId="0" applyFont="1" applyFill="1"/>
    <xf numFmtId="3" fontId="5" fillId="6" borderId="14" xfId="1" applyNumberFormat="1" applyFont="1" applyFill="1" applyBorder="1" applyAlignment="1">
      <alignment horizontal="center" vertical="top"/>
    </xf>
    <xf numFmtId="44" fontId="5" fillId="6" borderId="14" xfId="2" applyFont="1" applyFill="1" applyBorder="1" applyAlignment="1">
      <alignment horizontal="center" vertical="top"/>
    </xf>
    <xf numFmtId="44" fontId="5" fillId="6" borderId="14" xfId="2" applyFont="1" applyFill="1" applyBorder="1" applyAlignment="1">
      <alignment vertical="top"/>
    </xf>
    <xf numFmtId="0" fontId="5" fillId="5" borderId="0" xfId="0" applyFont="1" applyFill="1" applyAlignment="1">
      <alignment horizontal="center" vertical="top"/>
    </xf>
    <xf numFmtId="0" fontId="5" fillId="5" borderId="14" xfId="0" applyFont="1" applyFill="1" applyBorder="1" applyAlignment="1">
      <alignment horizontal="left" vertical="top" wrapText="1"/>
    </xf>
    <xf numFmtId="0" fontId="7" fillId="5" borderId="14" xfId="3" applyFont="1" applyFill="1" applyBorder="1"/>
    <xf numFmtId="3" fontId="5" fillId="0" borderId="14" xfId="1" applyNumberFormat="1" applyFont="1" applyFill="1" applyBorder="1" applyAlignment="1">
      <alignment horizontal="center" vertical="top"/>
    </xf>
    <xf numFmtId="44" fontId="5" fillId="0" borderId="14" xfId="2" applyFont="1" applyFill="1" applyBorder="1" applyAlignment="1">
      <alignment horizontal="center" vertical="top"/>
    </xf>
    <xf numFmtId="44" fontId="5" fillId="0" borderId="14" xfId="2" applyFont="1" applyFill="1" applyBorder="1" applyAlignment="1">
      <alignment vertical="top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5" fillId="0" borderId="14" xfId="0" applyFont="1" applyBorder="1" applyAlignment="1">
      <alignment horizontal="center" vertical="top" wrapText="1"/>
    </xf>
    <xf numFmtId="44" fontId="6" fillId="0" borderId="14" xfId="0" applyNumberFormat="1" applyFont="1" applyBorder="1" applyAlignment="1">
      <alignment horizontal="left" vertical="top" wrapText="1"/>
    </xf>
    <xf numFmtId="44" fontId="9" fillId="5" borderId="15" xfId="2" applyFont="1" applyFill="1" applyBorder="1" applyAlignment="1">
      <alignment horizontal="center"/>
    </xf>
    <xf numFmtId="44" fontId="3" fillId="5" borderId="14" xfId="2" applyFont="1" applyFill="1" applyBorder="1" applyAlignment="1">
      <alignment horizontal="center"/>
    </xf>
    <xf numFmtId="44" fontId="5" fillId="5" borderId="14" xfId="2" applyFont="1" applyFill="1" applyBorder="1"/>
    <xf numFmtId="0" fontId="5" fillId="4" borderId="0" xfId="0" applyFont="1" applyFill="1" applyAlignment="1">
      <alignment horizontal="left" vertical="center" wrapText="1" indent="1"/>
    </xf>
    <xf numFmtId="44" fontId="5" fillId="5" borderId="0" xfId="2" applyFont="1" applyFill="1" applyBorder="1"/>
    <xf numFmtId="0" fontId="4" fillId="3" borderId="9" xfId="0" applyFont="1" applyFill="1" applyBorder="1" applyAlignment="1">
      <alignment horizontal="center"/>
    </xf>
    <xf numFmtId="0" fontId="5" fillId="5" borderId="14" xfId="0" applyFont="1" applyFill="1" applyBorder="1" applyAlignment="1">
      <alignment wrapText="1"/>
    </xf>
    <xf numFmtId="0" fontId="7" fillId="5" borderId="14" xfId="3" applyFont="1" applyFill="1" applyBorder="1" applyAlignment="1">
      <alignment wrapText="1"/>
    </xf>
    <xf numFmtId="0" fontId="5" fillId="5" borderId="14" xfId="0" applyFont="1" applyFill="1" applyBorder="1" applyAlignment="1">
      <alignment horizontal="center" vertical="top" wrapText="1"/>
    </xf>
    <xf numFmtId="0" fontId="9" fillId="5" borderId="14" xfId="3" applyFont="1" applyFill="1" applyBorder="1" applyAlignment="1">
      <alignment wrapText="1"/>
    </xf>
    <xf numFmtId="0" fontId="6" fillId="5" borderId="14" xfId="0" applyFont="1" applyFill="1" applyBorder="1" applyAlignment="1">
      <alignment horizontal="center" vertical="top"/>
    </xf>
    <xf numFmtId="0" fontId="8" fillId="0" borderId="1" xfId="0" applyFont="1" applyBorder="1" applyAlignment="1">
      <alignment horizontal="left" wrapText="1"/>
    </xf>
    <xf numFmtId="0" fontId="8" fillId="0" borderId="2" xfId="0" applyFont="1" applyBorder="1" applyAlignment="1">
      <alignment horizontal="left" wrapText="1"/>
    </xf>
    <xf numFmtId="0" fontId="8" fillId="0" borderId="3" xfId="0" applyFont="1" applyBorder="1" applyAlignment="1">
      <alignment horizontal="left" wrapText="1"/>
    </xf>
  </cellXfs>
  <cellStyles count="4">
    <cellStyle name="Comma" xfId="1" builtinId="3"/>
    <cellStyle name="Currency" xfId="2" builtinId="4"/>
    <cellStyle name="Good" xfId="3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F1CA1-2067-48F3-A2F7-5A3ECEC44158}">
  <sheetPr>
    <pageSetUpPr fitToPage="1"/>
  </sheetPr>
  <dimension ref="A1:H95"/>
  <sheetViews>
    <sheetView tabSelected="1" zoomScale="140" zoomScaleNormal="140" workbookViewId="0">
      <selection activeCell="B12" sqref="B12"/>
    </sheetView>
  </sheetViews>
  <sheetFormatPr defaultColWidth="9.1796875" defaultRowHeight="15.5" x14ac:dyDescent="0.35"/>
  <cols>
    <col min="1" max="1" width="9.1796875" style="2"/>
    <col min="2" max="2" width="66.54296875" style="2" customWidth="1"/>
    <col min="3" max="3" width="9.1796875" style="2"/>
    <col min="4" max="4" width="9.453125" style="2" bestFit="1" customWidth="1"/>
    <col min="5" max="5" width="9.1796875" style="2"/>
    <col min="6" max="6" width="16.1796875" style="2" bestFit="1" customWidth="1"/>
    <col min="7" max="7" width="19" style="2" bestFit="1" customWidth="1"/>
    <col min="8" max="8" width="15.453125" style="2" bestFit="1" customWidth="1"/>
    <col min="9" max="11" width="9.1796875" style="2"/>
    <col min="12" max="12" width="12.7265625" style="2" bestFit="1" customWidth="1"/>
    <col min="13" max="13" width="9.1796875" style="2"/>
    <col min="14" max="14" width="12.7265625" style="2" bestFit="1" customWidth="1"/>
    <col min="15" max="16384" width="9.1796875" style="2"/>
  </cols>
  <sheetData>
    <row r="1" spans="2:8" ht="23.5" x14ac:dyDescent="0.55000000000000004">
      <c r="B1" s="85" t="s">
        <v>35</v>
      </c>
      <c r="C1" s="86"/>
      <c r="D1" s="86"/>
      <c r="E1" s="86"/>
      <c r="F1" s="86"/>
      <c r="G1" s="86"/>
      <c r="H1" s="87"/>
    </row>
    <row r="2" spans="2:8" x14ac:dyDescent="0.35">
      <c r="B2" s="36"/>
      <c r="C2" s="36"/>
      <c r="D2" s="36"/>
      <c r="E2" s="36"/>
      <c r="F2" s="36"/>
      <c r="G2" s="36"/>
      <c r="H2" s="36"/>
    </row>
    <row r="3" spans="2:8" x14ac:dyDescent="0.35">
      <c r="B3" s="4" t="s">
        <v>0</v>
      </c>
      <c r="C3" s="5" t="s">
        <v>1</v>
      </c>
      <c r="D3" s="71" t="s">
        <v>2</v>
      </c>
      <c r="E3" s="71" t="s">
        <v>3</v>
      </c>
      <c r="F3" s="71" t="s">
        <v>4</v>
      </c>
      <c r="G3" s="5" t="s">
        <v>5</v>
      </c>
      <c r="H3" s="4" t="s">
        <v>6</v>
      </c>
    </row>
    <row r="4" spans="2:8" x14ac:dyDescent="0.35">
      <c r="B4" s="6" t="s">
        <v>13</v>
      </c>
      <c r="C4" s="7"/>
      <c r="D4" s="7"/>
      <c r="E4" s="7"/>
      <c r="F4" s="7"/>
      <c r="G4" s="7"/>
      <c r="H4" s="7"/>
    </row>
    <row r="5" spans="2:8" x14ac:dyDescent="0.35">
      <c r="B5" s="1" t="s">
        <v>9</v>
      </c>
      <c r="C5" s="3"/>
      <c r="D5" s="72">
        <v>1</v>
      </c>
      <c r="E5" s="72" t="s">
        <v>12</v>
      </c>
      <c r="F5" s="34">
        <v>50000</v>
      </c>
      <c r="G5" s="34">
        <f>D5*F5</f>
        <v>50000</v>
      </c>
      <c r="H5" s="3"/>
    </row>
    <row r="6" spans="2:8" x14ac:dyDescent="0.35">
      <c r="B6" s="1" t="s">
        <v>14</v>
      </c>
      <c r="C6" s="3"/>
      <c r="D6" s="72">
        <v>1</v>
      </c>
      <c r="E6" s="72" t="s">
        <v>12</v>
      </c>
      <c r="F6" s="34">
        <v>10000</v>
      </c>
      <c r="G6" s="34">
        <f t="shared" ref="G6:G7" si="0">D6*F6</f>
        <v>10000</v>
      </c>
      <c r="H6" s="3"/>
    </row>
    <row r="7" spans="2:8" x14ac:dyDescent="0.35">
      <c r="B7" s="1" t="s">
        <v>16</v>
      </c>
      <c r="C7" s="3"/>
      <c r="D7" s="72">
        <v>1</v>
      </c>
      <c r="E7" s="72" t="s">
        <v>12</v>
      </c>
      <c r="F7" s="34">
        <f>H72</f>
        <v>92467</v>
      </c>
      <c r="G7" s="34">
        <f t="shared" si="0"/>
        <v>92467</v>
      </c>
      <c r="H7" s="3"/>
    </row>
    <row r="8" spans="2:8" ht="16" thickBot="1" x14ac:dyDescent="0.4">
      <c r="B8" s="35"/>
      <c r="C8" s="36"/>
      <c r="D8" s="37"/>
      <c r="E8" s="37"/>
      <c r="F8" s="38"/>
      <c r="G8" s="73">
        <f>SUM(G5:G7)</f>
        <v>152467</v>
      </c>
      <c r="H8" s="16" t="s">
        <v>5</v>
      </c>
    </row>
    <row r="9" spans="2:8" x14ac:dyDescent="0.35">
      <c r="B9" s="4" t="s">
        <v>0</v>
      </c>
      <c r="C9" s="5" t="s">
        <v>1</v>
      </c>
      <c r="D9" s="71" t="s">
        <v>2</v>
      </c>
      <c r="E9" s="71" t="s">
        <v>3</v>
      </c>
      <c r="F9" s="71" t="s">
        <v>4</v>
      </c>
      <c r="G9" s="5" t="s">
        <v>5</v>
      </c>
      <c r="H9" s="4" t="s">
        <v>6</v>
      </c>
    </row>
    <row r="10" spans="2:8" x14ac:dyDescent="0.35">
      <c r="B10" s="8" t="s">
        <v>50</v>
      </c>
      <c r="C10" s="9"/>
      <c r="D10" s="10"/>
      <c r="E10" s="11"/>
      <c r="F10" s="11"/>
      <c r="G10" s="11"/>
      <c r="H10" s="9"/>
    </row>
    <row r="11" spans="2:8" ht="31" x14ac:dyDescent="0.35">
      <c r="B11" s="53" t="s">
        <v>51</v>
      </c>
      <c r="C11" s="54"/>
      <c r="D11" s="55">
        <v>255</v>
      </c>
      <c r="E11" s="56" t="s">
        <v>10</v>
      </c>
      <c r="F11" s="57"/>
      <c r="G11" s="57">
        <f>IF(OR(F11="included",F11="included"),"included",F11*D11)</f>
        <v>0</v>
      </c>
      <c r="H11" s="54"/>
    </row>
    <row r="12" spans="2:8" ht="31" x14ac:dyDescent="0.35">
      <c r="B12" s="53" t="s">
        <v>52</v>
      </c>
      <c r="C12" s="54"/>
      <c r="D12" s="55">
        <v>5</v>
      </c>
      <c r="E12" s="56" t="s">
        <v>11</v>
      </c>
      <c r="F12" s="57"/>
      <c r="G12" s="57">
        <f t="shared" ref="G12:G13" si="1">IF(OR(F12="included",F12="included"),"included",F12*D12)</f>
        <v>0</v>
      </c>
      <c r="H12" s="54"/>
    </row>
    <row r="13" spans="2:8" x14ac:dyDescent="0.35">
      <c r="B13" s="53" t="s">
        <v>53</v>
      </c>
      <c r="C13" s="54"/>
      <c r="D13" s="55">
        <v>193</v>
      </c>
      <c r="E13" s="56" t="s">
        <v>54</v>
      </c>
      <c r="F13" s="57"/>
      <c r="G13" s="57">
        <f t="shared" si="1"/>
        <v>0</v>
      </c>
      <c r="H13" s="54"/>
    </row>
    <row r="14" spans="2:8" x14ac:dyDescent="0.35">
      <c r="B14" s="33" t="s">
        <v>18</v>
      </c>
      <c r="C14" s="13"/>
      <c r="D14" s="60"/>
      <c r="E14" s="61"/>
      <c r="F14" s="62"/>
      <c r="G14" s="14"/>
      <c r="H14" s="13"/>
    </row>
    <row r="15" spans="2:8" x14ac:dyDescent="0.35">
      <c r="B15" s="33" t="s">
        <v>19</v>
      </c>
      <c r="C15" s="13"/>
      <c r="D15" s="60"/>
      <c r="E15" s="61"/>
      <c r="F15" s="62"/>
      <c r="G15" s="14"/>
    </row>
    <row r="16" spans="2:8" ht="16" thickBot="1" x14ac:dyDescent="0.4">
      <c r="B16" s="39"/>
      <c r="C16" s="40"/>
      <c r="D16" s="41"/>
      <c r="E16" s="42"/>
      <c r="F16" s="42"/>
      <c r="G16" s="68">
        <f>SUM(G11:G15)</f>
        <v>0</v>
      </c>
      <c r="H16" s="16" t="s">
        <v>5</v>
      </c>
    </row>
    <row r="17" spans="1:8" x14ac:dyDescent="0.35">
      <c r="B17" s="8" t="s">
        <v>55</v>
      </c>
      <c r="C17" s="9"/>
      <c r="D17" s="10"/>
      <c r="E17" s="11"/>
      <c r="F17" s="11"/>
      <c r="G17" s="11"/>
      <c r="H17" s="9"/>
    </row>
    <row r="18" spans="1:8" x14ac:dyDescent="0.35">
      <c r="B18" s="53" t="s">
        <v>21</v>
      </c>
      <c r="C18" s="54"/>
      <c r="D18" s="55">
        <v>4509</v>
      </c>
      <c r="E18" s="56" t="s">
        <v>7</v>
      </c>
      <c r="F18" s="57"/>
      <c r="G18" s="57">
        <f>IF(OR(F18="included",F18="included"),"included",F18*D18)</f>
        <v>0</v>
      </c>
      <c r="H18" s="54"/>
    </row>
    <row r="19" spans="1:8" x14ac:dyDescent="0.35">
      <c r="B19" s="53" t="s">
        <v>22</v>
      </c>
      <c r="C19" s="54"/>
      <c r="D19" s="55">
        <v>4777</v>
      </c>
      <c r="E19" s="56" t="s">
        <v>7</v>
      </c>
      <c r="F19" s="57"/>
      <c r="G19" s="57">
        <f t="shared" ref="G19:G41" si="2">IF(OR(F19="included",F19="included"),"included",F19*D19)</f>
        <v>0</v>
      </c>
      <c r="H19" s="54"/>
    </row>
    <row r="20" spans="1:8" x14ac:dyDescent="0.35">
      <c r="B20" s="53" t="s">
        <v>23</v>
      </c>
      <c r="C20" s="54"/>
      <c r="D20" s="55" t="s">
        <v>34</v>
      </c>
      <c r="E20" s="56" t="s">
        <v>12</v>
      </c>
      <c r="F20" s="57"/>
      <c r="G20" s="57" t="e">
        <f t="shared" si="2"/>
        <v>#VALUE!</v>
      </c>
      <c r="H20" s="54"/>
    </row>
    <row r="21" spans="1:8" ht="46.5" x14ac:dyDescent="0.35">
      <c r="B21" s="53" t="s">
        <v>24</v>
      </c>
      <c r="C21" s="54"/>
      <c r="D21" s="55">
        <v>42</v>
      </c>
      <c r="E21" s="56" t="s">
        <v>8</v>
      </c>
      <c r="F21" s="57"/>
      <c r="G21" s="57">
        <f t="shared" si="2"/>
        <v>0</v>
      </c>
      <c r="H21" s="54"/>
    </row>
    <row r="22" spans="1:8" ht="31" x14ac:dyDescent="0.35">
      <c r="B22" s="53" t="s">
        <v>25</v>
      </c>
      <c r="C22" s="54"/>
      <c r="D22" s="55">
        <v>47</v>
      </c>
      <c r="E22" s="56" t="s">
        <v>8</v>
      </c>
      <c r="F22" s="57"/>
      <c r="G22" s="57">
        <f t="shared" si="2"/>
        <v>0</v>
      </c>
      <c r="H22" s="54"/>
    </row>
    <row r="23" spans="1:8" x14ac:dyDescent="0.35">
      <c r="B23" s="33" t="s">
        <v>18</v>
      </c>
      <c r="C23" s="13"/>
      <c r="D23" s="60"/>
      <c r="E23" s="61"/>
      <c r="F23" s="62"/>
      <c r="G23" s="14"/>
      <c r="H23" s="13"/>
    </row>
    <row r="24" spans="1:8" x14ac:dyDescent="0.35">
      <c r="B24" s="33" t="s">
        <v>19</v>
      </c>
      <c r="C24" s="13"/>
      <c r="D24" s="60"/>
      <c r="E24" s="61"/>
      <c r="F24" s="62"/>
      <c r="G24" s="14"/>
    </row>
    <row r="25" spans="1:8" ht="16" thickBot="1" x14ac:dyDescent="0.4">
      <c r="B25" s="39"/>
      <c r="C25" s="40"/>
      <c r="D25" s="41"/>
      <c r="E25" s="42"/>
      <c r="F25" s="42"/>
      <c r="G25" s="68" t="e">
        <f>SUM(G18:G24)</f>
        <v>#VALUE!</v>
      </c>
      <c r="H25" s="16" t="s">
        <v>5</v>
      </c>
    </row>
    <row r="26" spans="1:8" x14ac:dyDescent="0.35">
      <c r="B26" s="4" t="s">
        <v>0</v>
      </c>
      <c r="C26" s="5" t="s">
        <v>1</v>
      </c>
      <c r="D26" s="71" t="s">
        <v>2</v>
      </c>
      <c r="E26" s="71" t="s">
        <v>3</v>
      </c>
      <c r="F26" s="71" t="s">
        <v>4</v>
      </c>
      <c r="G26" s="5" t="s">
        <v>5</v>
      </c>
      <c r="H26" s="4" t="s">
        <v>6</v>
      </c>
    </row>
    <row r="27" spans="1:8" x14ac:dyDescent="0.35">
      <c r="B27" s="8" t="s">
        <v>56</v>
      </c>
      <c r="C27" s="9"/>
      <c r="D27" s="10"/>
      <c r="E27" s="11"/>
      <c r="F27" s="11"/>
      <c r="G27" s="11"/>
      <c r="H27" s="9"/>
    </row>
    <row r="28" spans="1:8" x14ac:dyDescent="0.35">
      <c r="A28" s="63">
        <v>1</v>
      </c>
      <c r="B28" s="64" t="s">
        <v>36</v>
      </c>
      <c r="C28" s="54"/>
      <c r="D28" s="55">
        <v>1</v>
      </c>
      <c r="E28" s="56" t="s">
        <v>11</v>
      </c>
      <c r="F28" s="57"/>
      <c r="G28" s="14">
        <f t="shared" si="2"/>
        <v>0</v>
      </c>
      <c r="H28" s="13"/>
    </row>
    <row r="29" spans="1:8" ht="31" x14ac:dyDescent="0.35">
      <c r="A29" s="63">
        <v>2</v>
      </c>
      <c r="B29" s="64" t="s">
        <v>37</v>
      </c>
      <c r="C29" s="54"/>
      <c r="D29" s="55">
        <v>2</v>
      </c>
      <c r="E29" s="56" t="s">
        <v>11</v>
      </c>
      <c r="F29" s="57"/>
      <c r="G29" s="14">
        <f t="shared" si="2"/>
        <v>0</v>
      </c>
      <c r="H29" s="13"/>
    </row>
    <row r="30" spans="1:8" x14ac:dyDescent="0.35">
      <c r="A30" s="63">
        <v>3</v>
      </c>
      <c r="B30" s="64" t="s">
        <v>49</v>
      </c>
      <c r="C30" s="54"/>
      <c r="D30" s="55">
        <v>5395</v>
      </c>
      <c r="E30" s="56" t="s">
        <v>10</v>
      </c>
      <c r="F30" s="57"/>
      <c r="G30" s="14"/>
      <c r="H30" s="13"/>
    </row>
    <row r="31" spans="1:8" ht="31" x14ac:dyDescent="0.35">
      <c r="A31" s="63">
        <v>4</v>
      </c>
      <c r="B31" s="64" t="s">
        <v>38</v>
      </c>
      <c r="C31" s="54"/>
      <c r="D31" s="55">
        <v>16</v>
      </c>
      <c r="E31" s="56" t="s">
        <v>11</v>
      </c>
      <c r="F31" s="57"/>
      <c r="G31" s="14">
        <f t="shared" si="2"/>
        <v>0</v>
      </c>
      <c r="H31" s="13"/>
    </row>
    <row r="32" spans="1:8" x14ac:dyDescent="0.35">
      <c r="A32" s="63">
        <v>5</v>
      </c>
      <c r="B32" s="64" t="s">
        <v>39</v>
      </c>
      <c r="C32" s="54"/>
      <c r="D32" s="55">
        <v>16</v>
      </c>
      <c r="E32" s="56" t="s">
        <v>11</v>
      </c>
      <c r="F32" s="57"/>
      <c r="G32" s="14">
        <f t="shared" si="2"/>
        <v>0</v>
      </c>
      <c r="H32" s="13"/>
    </row>
    <row r="33" spans="1:8" x14ac:dyDescent="0.35">
      <c r="A33" s="63">
        <v>6</v>
      </c>
      <c r="B33" s="64" t="s">
        <v>40</v>
      </c>
      <c r="C33" s="54"/>
      <c r="D33" s="55">
        <v>16</v>
      </c>
      <c r="E33" s="56" t="s">
        <v>11</v>
      </c>
      <c r="F33" s="57"/>
      <c r="G33" s="14">
        <f t="shared" si="2"/>
        <v>0</v>
      </c>
      <c r="H33" s="13"/>
    </row>
    <row r="34" spans="1:8" x14ac:dyDescent="0.35">
      <c r="A34" s="63">
        <v>7</v>
      </c>
      <c r="B34" s="64" t="s">
        <v>41</v>
      </c>
      <c r="C34" s="54"/>
      <c r="D34" s="55">
        <v>25</v>
      </c>
      <c r="E34" s="56" t="s">
        <v>8</v>
      </c>
      <c r="F34" s="57"/>
      <c r="G34" s="14">
        <f t="shared" si="2"/>
        <v>0</v>
      </c>
      <c r="H34" s="13"/>
    </row>
    <row r="35" spans="1:8" x14ac:dyDescent="0.35">
      <c r="A35" s="63">
        <v>8</v>
      </c>
      <c r="B35" s="64" t="s">
        <v>42</v>
      </c>
      <c r="C35" s="54"/>
      <c r="D35" s="55">
        <v>3</v>
      </c>
      <c r="E35" s="56" t="s">
        <v>8</v>
      </c>
      <c r="F35" s="57"/>
      <c r="G35" s="14">
        <f t="shared" si="2"/>
        <v>0</v>
      </c>
      <c r="H35" s="13"/>
    </row>
    <row r="36" spans="1:8" ht="31" x14ac:dyDescent="0.35">
      <c r="A36" s="63">
        <v>9</v>
      </c>
      <c r="B36" s="64" t="s">
        <v>43</v>
      </c>
      <c r="C36" s="54"/>
      <c r="D36" s="55">
        <v>2</v>
      </c>
      <c r="E36" s="56" t="s">
        <v>8</v>
      </c>
      <c r="F36" s="57"/>
      <c r="G36" s="14">
        <f t="shared" si="2"/>
        <v>0</v>
      </c>
      <c r="H36" s="13"/>
    </row>
    <row r="37" spans="1:8" x14ac:dyDescent="0.35">
      <c r="A37" s="63">
        <v>10</v>
      </c>
      <c r="B37" s="64" t="s">
        <v>44</v>
      </c>
      <c r="C37" s="54"/>
      <c r="D37" s="55">
        <v>15</v>
      </c>
      <c r="E37" s="56" t="s">
        <v>11</v>
      </c>
      <c r="F37" s="57"/>
      <c r="G37" s="14">
        <f t="shared" si="2"/>
        <v>0</v>
      </c>
      <c r="H37" s="13"/>
    </row>
    <row r="38" spans="1:8" x14ac:dyDescent="0.35">
      <c r="A38" s="63">
        <v>11</v>
      </c>
      <c r="B38" s="64" t="s">
        <v>45</v>
      </c>
      <c r="C38" s="54"/>
      <c r="D38" s="55">
        <v>122</v>
      </c>
      <c r="E38" s="56" t="s">
        <v>7</v>
      </c>
      <c r="F38" s="57"/>
      <c r="G38" s="14">
        <f t="shared" si="2"/>
        <v>0</v>
      </c>
      <c r="H38" s="13"/>
    </row>
    <row r="39" spans="1:8" x14ac:dyDescent="0.35">
      <c r="A39" s="63">
        <v>12</v>
      </c>
      <c r="B39" s="64" t="s">
        <v>46</v>
      </c>
      <c r="C39" s="65"/>
      <c r="D39" s="55">
        <v>3</v>
      </c>
      <c r="E39" s="56" t="s">
        <v>8</v>
      </c>
      <c r="F39" s="57"/>
      <c r="G39" s="14">
        <f t="shared" si="2"/>
        <v>0</v>
      </c>
      <c r="H39" s="13"/>
    </row>
    <row r="40" spans="1:8" x14ac:dyDescent="0.35">
      <c r="A40" s="63">
        <v>13</v>
      </c>
      <c r="B40" s="64" t="s">
        <v>47</v>
      </c>
      <c r="C40" s="65"/>
      <c r="D40" s="63">
        <v>1</v>
      </c>
      <c r="E40" s="56" t="s">
        <v>8</v>
      </c>
      <c r="F40" s="57"/>
      <c r="G40" s="14">
        <f t="shared" si="2"/>
        <v>0</v>
      </c>
      <c r="H40" s="13"/>
    </row>
    <row r="41" spans="1:8" ht="31" x14ac:dyDescent="0.35">
      <c r="A41" s="63">
        <v>14</v>
      </c>
      <c r="B41" s="64" t="s">
        <v>48</v>
      </c>
      <c r="C41" s="65"/>
      <c r="D41" s="55">
        <v>4</v>
      </c>
      <c r="E41" s="56" t="s">
        <v>8</v>
      </c>
      <c r="F41" s="57"/>
      <c r="G41" s="14">
        <f t="shared" si="2"/>
        <v>0</v>
      </c>
      <c r="H41" s="13"/>
    </row>
    <row r="42" spans="1:8" x14ac:dyDescent="0.35">
      <c r="B42" s="12"/>
      <c r="C42" s="15"/>
      <c r="D42" s="66"/>
      <c r="E42" s="67"/>
      <c r="F42" s="68"/>
      <c r="G42" s="14"/>
      <c r="H42" s="13"/>
    </row>
    <row r="43" spans="1:8" x14ac:dyDescent="0.35">
      <c r="B43" s="12" t="s">
        <v>20</v>
      </c>
      <c r="C43" s="15"/>
      <c r="D43" s="66"/>
      <c r="E43" s="67"/>
      <c r="F43" s="68"/>
      <c r="G43" s="14"/>
      <c r="H43" s="13"/>
    </row>
    <row r="44" spans="1:8" ht="16" thickBot="1" x14ac:dyDescent="0.4">
      <c r="B44" s="43"/>
      <c r="C44" s="44"/>
      <c r="D44" s="45"/>
      <c r="E44" s="46"/>
      <c r="F44" s="46"/>
      <c r="G44" s="76">
        <f>SUM(G28:G43,)</f>
        <v>0</v>
      </c>
      <c r="H44" s="16" t="s">
        <v>5</v>
      </c>
    </row>
    <row r="45" spans="1:8" ht="16" thickBot="1" x14ac:dyDescent="0.4">
      <c r="B45" s="77"/>
      <c r="C45" s="47"/>
      <c r="D45" s="48"/>
      <c r="E45" s="49"/>
      <c r="F45" s="49"/>
      <c r="G45" s="78"/>
      <c r="H45" s="79"/>
    </row>
    <row r="46" spans="1:8" ht="16" thickBot="1" x14ac:dyDescent="0.4">
      <c r="A46" s="8"/>
      <c r="B46" s="9"/>
      <c r="C46" s="10"/>
      <c r="D46" s="11"/>
      <c r="E46" s="11"/>
      <c r="F46" s="11"/>
      <c r="G46" s="9"/>
      <c r="H46" s="79"/>
    </row>
    <row r="47" spans="1:8" ht="16" thickBot="1" x14ac:dyDescent="0.4">
      <c r="A47" s="64"/>
      <c r="B47" s="84" t="s">
        <v>58</v>
      </c>
      <c r="C47" s="55"/>
      <c r="D47" s="56"/>
      <c r="E47" s="57"/>
      <c r="F47" s="14"/>
      <c r="G47" s="13"/>
      <c r="H47" s="19" t="s">
        <v>6</v>
      </c>
    </row>
    <row r="48" spans="1:8" ht="31" x14ac:dyDescent="0.35">
      <c r="A48" s="82">
        <v>1</v>
      </c>
      <c r="B48" s="53" t="s">
        <v>59</v>
      </c>
      <c r="C48" s="55">
        <v>2</v>
      </c>
      <c r="D48" s="56" t="s">
        <v>11</v>
      </c>
      <c r="E48" s="57"/>
      <c r="F48" s="14">
        <f t="shared" ref="F48:F63" si="3">IF(OR(E48="included",E48="included"),"included",E48*C48)</f>
        <v>0</v>
      </c>
      <c r="G48" s="13"/>
      <c r="H48" s="26"/>
    </row>
    <row r="49" spans="1:8" ht="31" x14ac:dyDescent="0.35">
      <c r="A49" s="82">
        <v>2</v>
      </c>
      <c r="B49" s="53" t="s">
        <v>60</v>
      </c>
      <c r="C49" s="55">
        <v>2</v>
      </c>
      <c r="D49" s="56" t="s">
        <v>11</v>
      </c>
      <c r="E49" s="57"/>
      <c r="F49" s="14">
        <f t="shared" si="3"/>
        <v>0</v>
      </c>
      <c r="G49" s="13"/>
      <c r="H49" s="54"/>
    </row>
    <row r="50" spans="1:8" x14ac:dyDescent="0.35">
      <c r="A50" s="82">
        <v>3</v>
      </c>
      <c r="B50" s="80" t="s">
        <v>61</v>
      </c>
      <c r="C50" s="55">
        <v>4725</v>
      </c>
      <c r="D50" s="56" t="s">
        <v>10</v>
      </c>
      <c r="E50" s="57"/>
      <c r="F50" s="14">
        <f t="shared" si="3"/>
        <v>0</v>
      </c>
      <c r="G50" s="13"/>
      <c r="H50" s="54"/>
    </row>
    <row r="51" spans="1:8" x14ac:dyDescent="0.35">
      <c r="A51" s="82">
        <v>4</v>
      </c>
      <c r="B51" s="80" t="s">
        <v>62</v>
      </c>
      <c r="C51" s="55">
        <v>5295</v>
      </c>
      <c r="D51" s="56" t="s">
        <v>10</v>
      </c>
      <c r="E51" s="57"/>
      <c r="F51" s="14">
        <f t="shared" si="3"/>
        <v>0</v>
      </c>
      <c r="G51" s="13"/>
      <c r="H51" s="54"/>
    </row>
    <row r="52" spans="1:8" x14ac:dyDescent="0.35">
      <c r="A52" s="82">
        <v>5</v>
      </c>
      <c r="B52" s="80" t="s">
        <v>63</v>
      </c>
      <c r="C52" s="55"/>
      <c r="D52" s="56" t="s">
        <v>12</v>
      </c>
      <c r="E52" s="57"/>
      <c r="F52" s="14">
        <f t="shared" si="3"/>
        <v>0</v>
      </c>
      <c r="G52" s="13"/>
      <c r="H52" s="54"/>
    </row>
    <row r="53" spans="1:8" ht="31" x14ac:dyDescent="0.35">
      <c r="A53" s="82">
        <v>6</v>
      </c>
      <c r="B53" s="80" t="s">
        <v>70</v>
      </c>
      <c r="C53" s="55">
        <v>255</v>
      </c>
      <c r="D53" s="56" t="s">
        <v>11</v>
      </c>
      <c r="E53" s="57"/>
      <c r="F53" s="14">
        <f t="shared" si="3"/>
        <v>0</v>
      </c>
      <c r="G53" s="13"/>
      <c r="H53" s="54"/>
    </row>
    <row r="54" spans="1:8" ht="31" x14ac:dyDescent="0.35">
      <c r="A54" s="82">
        <v>7</v>
      </c>
      <c r="B54" s="80" t="s">
        <v>64</v>
      </c>
      <c r="C54" s="55">
        <v>255</v>
      </c>
      <c r="D54" s="56" t="s">
        <v>8</v>
      </c>
      <c r="E54" s="57"/>
      <c r="F54" s="14">
        <f t="shared" si="3"/>
        <v>0</v>
      </c>
      <c r="G54" s="13"/>
      <c r="H54" s="54"/>
    </row>
    <row r="55" spans="1:8" ht="31" x14ac:dyDescent="0.35">
      <c r="A55" s="82">
        <v>8</v>
      </c>
      <c r="B55" s="80" t="s">
        <v>71</v>
      </c>
      <c r="C55" s="55">
        <v>105</v>
      </c>
      <c r="D55" s="56" t="s">
        <v>11</v>
      </c>
      <c r="E55" s="57"/>
      <c r="F55" s="14">
        <f t="shared" si="3"/>
        <v>0</v>
      </c>
      <c r="G55" s="13"/>
      <c r="H55" s="54"/>
    </row>
    <row r="56" spans="1:8" x14ac:dyDescent="0.35">
      <c r="A56" s="82">
        <v>9</v>
      </c>
      <c r="B56" s="80" t="s">
        <v>65</v>
      </c>
      <c r="C56" s="55">
        <v>34</v>
      </c>
      <c r="D56" s="56" t="s">
        <v>8</v>
      </c>
      <c r="E56" s="57"/>
      <c r="F56" s="14">
        <f t="shared" si="3"/>
        <v>0</v>
      </c>
      <c r="G56" s="13"/>
      <c r="H56" s="54"/>
    </row>
    <row r="57" spans="1:8" ht="31" x14ac:dyDescent="0.35">
      <c r="A57" s="82">
        <v>10</v>
      </c>
      <c r="B57" s="80" t="s">
        <v>66</v>
      </c>
      <c r="C57" s="55">
        <v>41</v>
      </c>
      <c r="D57" s="56" t="s">
        <v>8</v>
      </c>
      <c r="E57" s="57"/>
      <c r="F57" s="14">
        <f t="shared" si="3"/>
        <v>0</v>
      </c>
      <c r="G57" s="13"/>
      <c r="H57" s="13"/>
    </row>
    <row r="58" spans="1:8" x14ac:dyDescent="0.35">
      <c r="A58" s="82">
        <v>11</v>
      </c>
      <c r="B58" s="80" t="s">
        <v>72</v>
      </c>
      <c r="C58" s="55">
        <v>44</v>
      </c>
      <c r="D58" s="56" t="s">
        <v>11</v>
      </c>
      <c r="E58" s="57"/>
      <c r="F58" s="14">
        <f t="shared" si="3"/>
        <v>0</v>
      </c>
      <c r="G58" s="13"/>
      <c r="H58" s="13"/>
    </row>
    <row r="59" spans="1:8" x14ac:dyDescent="0.35">
      <c r="A59" s="82">
        <v>12</v>
      </c>
      <c r="B59" s="80" t="s">
        <v>73</v>
      </c>
      <c r="C59" s="55">
        <v>1</v>
      </c>
      <c r="D59" s="56" t="s">
        <v>11</v>
      </c>
      <c r="E59" s="57"/>
      <c r="F59" s="14">
        <f t="shared" si="3"/>
        <v>0</v>
      </c>
      <c r="G59" s="13"/>
      <c r="H59" s="28" t="s">
        <v>5</v>
      </c>
    </row>
    <row r="60" spans="1:8" ht="31" x14ac:dyDescent="0.35">
      <c r="A60" s="82">
        <v>13</v>
      </c>
      <c r="B60" s="80" t="s">
        <v>74</v>
      </c>
      <c r="C60" s="55">
        <v>42</v>
      </c>
      <c r="D60" s="56" t="s">
        <v>11</v>
      </c>
      <c r="E60" s="57"/>
      <c r="F60" s="14">
        <f t="shared" si="3"/>
        <v>0</v>
      </c>
      <c r="G60" s="13"/>
      <c r="H60" s="27"/>
    </row>
    <row r="61" spans="1:8" ht="31" x14ac:dyDescent="0.35">
      <c r="A61" s="82">
        <v>14</v>
      </c>
      <c r="B61" s="80" t="s">
        <v>67</v>
      </c>
      <c r="C61" s="55" t="s">
        <v>34</v>
      </c>
      <c r="D61" s="56" t="s">
        <v>11</v>
      </c>
      <c r="E61" s="57"/>
      <c r="F61" s="14" t="e">
        <f t="shared" si="3"/>
        <v>#VALUE!</v>
      </c>
      <c r="G61" s="13"/>
      <c r="H61" s="28" t="s">
        <v>5</v>
      </c>
    </row>
    <row r="62" spans="1:8" x14ac:dyDescent="0.35">
      <c r="A62" s="82">
        <v>15</v>
      </c>
      <c r="B62" s="80" t="s">
        <v>68</v>
      </c>
      <c r="C62" s="55">
        <v>1</v>
      </c>
      <c r="D62" s="56" t="s">
        <v>11</v>
      </c>
      <c r="E62" s="57"/>
      <c r="F62" s="14">
        <f t="shared" si="3"/>
        <v>0</v>
      </c>
      <c r="G62" s="13"/>
    </row>
    <row r="63" spans="1:8" ht="31" x14ac:dyDescent="0.35">
      <c r="A63" s="82">
        <v>16</v>
      </c>
      <c r="B63" s="83" t="s">
        <v>69</v>
      </c>
      <c r="C63" s="55">
        <v>34</v>
      </c>
      <c r="D63" s="56" t="s">
        <v>8</v>
      </c>
      <c r="E63" s="57"/>
      <c r="F63" s="14">
        <f t="shared" si="3"/>
        <v>0</v>
      </c>
      <c r="G63" s="13"/>
    </row>
    <row r="64" spans="1:8" x14ac:dyDescent="0.35">
      <c r="A64" s="12"/>
      <c r="B64" s="81"/>
      <c r="C64" s="63"/>
      <c r="D64" s="56"/>
      <c r="E64" s="57"/>
      <c r="F64" s="14">
        <f t="shared" ref="F64:F65" si="4">IF(OR(E64="included",E64="included"),"included",E64*C64)</f>
        <v>0</v>
      </c>
      <c r="G64" s="13"/>
    </row>
    <row r="65" spans="1:8" x14ac:dyDescent="0.35">
      <c r="A65" s="12"/>
      <c r="B65" s="81"/>
      <c r="C65" s="55"/>
      <c r="D65" s="56"/>
      <c r="E65" s="57"/>
      <c r="F65" s="14">
        <f t="shared" si="4"/>
        <v>0</v>
      </c>
      <c r="G65" s="13"/>
    </row>
    <row r="66" spans="1:8" x14ac:dyDescent="0.35">
      <c r="A66" s="43"/>
      <c r="B66" s="15"/>
      <c r="C66" s="66"/>
      <c r="D66" s="67"/>
      <c r="E66" s="68"/>
      <c r="F66" s="14"/>
      <c r="G66" s="13"/>
    </row>
    <row r="67" spans="1:8" x14ac:dyDescent="0.35">
      <c r="B67" s="15"/>
      <c r="C67" s="66"/>
      <c r="D67" s="67"/>
      <c r="E67" s="68"/>
      <c r="F67" s="14"/>
      <c r="G67" s="13"/>
    </row>
    <row r="68" spans="1:8" ht="16" thickBot="1" x14ac:dyDescent="0.4">
      <c r="B68" s="44"/>
      <c r="C68" s="45"/>
      <c r="D68" s="46"/>
      <c r="E68" s="46"/>
      <c r="F68" s="76" t="e">
        <f>SUM(F47:F67,)</f>
        <v>#VALUE!</v>
      </c>
      <c r="G68" s="16" t="s">
        <v>5</v>
      </c>
    </row>
    <row r="69" spans="1:8" x14ac:dyDescent="0.35">
      <c r="B69" s="77"/>
      <c r="C69" s="47"/>
      <c r="D69" s="48"/>
      <c r="E69" s="49"/>
      <c r="F69" s="49"/>
      <c r="G69" s="78"/>
    </row>
    <row r="70" spans="1:8" ht="16" thickBot="1" x14ac:dyDescent="0.4">
      <c r="B70" s="17" t="s">
        <v>0</v>
      </c>
      <c r="C70" s="18" t="s">
        <v>1</v>
      </c>
      <c r="D70" s="69" t="s">
        <v>2</v>
      </c>
      <c r="E70" s="69" t="s">
        <v>3</v>
      </c>
      <c r="F70" s="70" t="s">
        <v>4</v>
      </c>
      <c r="G70" s="16" t="s">
        <v>5</v>
      </c>
    </row>
    <row r="71" spans="1:8" x14ac:dyDescent="0.35">
      <c r="B71" s="20" t="s">
        <v>57</v>
      </c>
      <c r="C71" s="21"/>
      <c r="D71" s="22"/>
      <c r="E71" s="23"/>
      <c r="F71" s="24"/>
      <c r="G71" s="25"/>
    </row>
    <row r="72" spans="1:8" x14ac:dyDescent="0.35">
      <c r="B72" s="58" t="s">
        <v>26</v>
      </c>
      <c r="C72" s="59"/>
      <c r="D72" s="55">
        <v>156</v>
      </c>
      <c r="E72" s="56" t="s">
        <v>10</v>
      </c>
      <c r="F72" s="57"/>
      <c r="G72" s="57">
        <f>IF(OR(F72="included",F72="included"),"included",F72*D72)</f>
        <v>0</v>
      </c>
      <c r="H72" s="31">
        <f>ROUNDUP(H73,0)</f>
        <v>92467</v>
      </c>
    </row>
    <row r="73" spans="1:8" x14ac:dyDescent="0.35">
      <c r="B73" s="58" t="s">
        <v>27</v>
      </c>
      <c r="C73" s="59"/>
      <c r="D73" s="55">
        <v>215</v>
      </c>
      <c r="E73" s="56" t="s">
        <v>10</v>
      </c>
      <c r="F73" s="57"/>
      <c r="G73" s="57">
        <f t="shared" ref="G73:G75" si="5">IF(OR(F73="included",F73="included"),"included",F73*D73)</f>
        <v>0</v>
      </c>
      <c r="H73" s="31">
        <f>G95*F95</f>
        <v>92466.57</v>
      </c>
    </row>
    <row r="74" spans="1:8" x14ac:dyDescent="0.35">
      <c r="B74" s="53" t="s">
        <v>28</v>
      </c>
      <c r="C74" s="59"/>
      <c r="D74" s="55">
        <v>3</v>
      </c>
      <c r="E74" s="56" t="s">
        <v>11</v>
      </c>
      <c r="F74" s="57"/>
      <c r="G74" s="57">
        <f t="shared" si="5"/>
        <v>0</v>
      </c>
    </row>
    <row r="75" spans="1:8" x14ac:dyDescent="0.35">
      <c r="B75" s="58" t="s">
        <v>29</v>
      </c>
      <c r="C75" s="59"/>
      <c r="D75" s="55">
        <v>1</v>
      </c>
      <c r="E75" s="56" t="s">
        <v>11</v>
      </c>
      <c r="F75" s="57"/>
      <c r="G75" s="57">
        <f t="shared" si="5"/>
        <v>0</v>
      </c>
    </row>
    <row r="76" spans="1:8" ht="31" x14ac:dyDescent="0.35">
      <c r="B76" s="53" t="s">
        <v>30</v>
      </c>
      <c r="C76" s="59"/>
      <c r="D76" s="55">
        <v>1</v>
      </c>
      <c r="E76" s="56" t="s">
        <v>11</v>
      </c>
      <c r="F76" s="57"/>
      <c r="G76" s="57">
        <f>IF(OR(F76="included",F76="included"),"included",F76*D76)</f>
        <v>0</v>
      </c>
    </row>
    <row r="77" spans="1:8" x14ac:dyDescent="0.35">
      <c r="B77" s="53" t="s">
        <v>31</v>
      </c>
      <c r="C77" s="59"/>
      <c r="D77" s="55">
        <v>2</v>
      </c>
      <c r="E77" s="56" t="s">
        <v>11</v>
      </c>
      <c r="F77" s="57"/>
      <c r="G77" s="57">
        <f t="shared" ref="G77:G81" si="6">IF(OR(F77="included",F77="included"),"included",F77*D77)</f>
        <v>0</v>
      </c>
    </row>
    <row r="78" spans="1:8" x14ac:dyDescent="0.35">
      <c r="B78" s="53" t="s">
        <v>32</v>
      </c>
      <c r="C78" s="59"/>
      <c r="D78" s="55">
        <v>6</v>
      </c>
      <c r="E78" s="56" t="s">
        <v>11</v>
      </c>
      <c r="F78" s="57"/>
      <c r="G78" s="57">
        <f t="shared" si="6"/>
        <v>0</v>
      </c>
    </row>
    <row r="79" spans="1:8" x14ac:dyDescent="0.35">
      <c r="B79" s="58" t="s">
        <v>33</v>
      </c>
      <c r="C79" s="54"/>
      <c r="D79" s="55" t="s">
        <v>34</v>
      </c>
      <c r="E79" s="56" t="s">
        <v>8</v>
      </c>
      <c r="F79" s="57"/>
      <c r="G79" s="57" t="e">
        <f>IF(OR(F79="included",F79="included"),"included",F79*D79)</f>
        <v>#VALUE!</v>
      </c>
    </row>
    <row r="80" spans="1:8" x14ac:dyDescent="0.35">
      <c r="B80" s="33"/>
      <c r="D80" s="66"/>
      <c r="E80" s="67" t="s">
        <v>10</v>
      </c>
      <c r="F80" s="68"/>
      <c r="G80" s="14">
        <f t="shared" si="6"/>
        <v>0</v>
      </c>
    </row>
    <row r="81" spans="2:7" x14ac:dyDescent="0.35">
      <c r="B81" s="33" t="s">
        <v>19</v>
      </c>
      <c r="D81" s="66"/>
      <c r="E81" s="67" t="s">
        <v>10</v>
      </c>
      <c r="F81" s="68"/>
      <c r="G81" s="14">
        <f t="shared" si="6"/>
        <v>0</v>
      </c>
    </row>
    <row r="82" spans="2:7" x14ac:dyDescent="0.35">
      <c r="B82" s="47"/>
      <c r="C82" s="47"/>
      <c r="D82" s="48"/>
      <c r="E82" s="49"/>
      <c r="F82" s="49"/>
      <c r="G82" s="74" t="e">
        <f>SUM(G73:G81)</f>
        <v>#VALUE!</v>
      </c>
    </row>
    <row r="83" spans="2:7" x14ac:dyDescent="0.35">
      <c r="B83" s="50"/>
      <c r="C83" s="51"/>
      <c r="D83" s="51"/>
      <c r="E83" s="51"/>
      <c r="F83" s="52"/>
      <c r="G83" s="27"/>
    </row>
    <row r="84" spans="2:7" ht="18.5" x14ac:dyDescent="0.45">
      <c r="B84" s="29"/>
      <c r="C84" s="30"/>
      <c r="D84" s="30"/>
      <c r="E84" s="30"/>
      <c r="F84" s="32" t="s">
        <v>17</v>
      </c>
      <c r="G84" s="75" t="e">
        <f>SUM(G44,G82,G25,G8)</f>
        <v>#VALUE!</v>
      </c>
    </row>
    <row r="94" spans="2:7" x14ac:dyDescent="0.35">
      <c r="F94" s="2" t="s">
        <v>15</v>
      </c>
    </row>
    <row r="95" spans="2:7" x14ac:dyDescent="0.35">
      <c r="F95" s="31">
        <v>2641902</v>
      </c>
      <c r="G95" s="2">
        <v>3.5000000000000003E-2</v>
      </c>
    </row>
  </sheetData>
  <mergeCells count="1">
    <mergeCell ref="B1:H1"/>
  </mergeCells>
  <pageMargins left="0.7" right="0.7" top="0.75" bottom="0.75" header="0.3" footer="0.3"/>
  <pageSetup paperSize="17" scale="84" orientation="portrait" horizontalDpi="1200" verticalDpi="1200" r:id="rId1"/>
  <colBreaks count="1" manualBreakCount="1">
    <brk id="7" max="6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Southridge-Sewer-Water</vt:lpstr>
      <vt:lpstr>'Southridge-Sewer-Water'!Print_Area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Camorlinga, Claudia</dc:creator>
  <cp:lastModifiedBy>Russell Pfister</cp:lastModifiedBy>
  <cp:lastPrinted>2024-12-20T21:34:44Z</cp:lastPrinted>
  <dcterms:created xsi:type="dcterms:W3CDTF">2022-07-07T16:32:21Z</dcterms:created>
  <dcterms:modified xsi:type="dcterms:W3CDTF">2025-02-13T21:10:19Z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040b81-fdf8-4a7a-8a70-b86e09f0b624_Enabled">
    <vt:lpwstr>true</vt:lpwstr>
  </property>
  <property fmtid="{D5CDD505-2E9C-101B-9397-08002B2CF9AE}" pid="3" name="MSIP_Label_40040b81-fdf8-4a7a-8a70-b86e09f0b624_SetDate">
    <vt:lpwstr>2022-07-07T16:32:23Z</vt:lpwstr>
  </property>
  <property fmtid="{D5CDD505-2E9C-101B-9397-08002B2CF9AE}" pid="4" name="MSIP_Label_40040b81-fdf8-4a7a-8a70-b86e09f0b624_Method">
    <vt:lpwstr>Standard</vt:lpwstr>
  </property>
  <property fmtid="{D5CDD505-2E9C-101B-9397-08002B2CF9AE}" pid="5" name="MSIP_Label_40040b81-fdf8-4a7a-8a70-b86e09f0b624_Name">
    <vt:lpwstr>Internal</vt:lpwstr>
  </property>
  <property fmtid="{D5CDD505-2E9C-101B-9397-08002B2CF9AE}" pid="6" name="MSIP_Label_40040b81-fdf8-4a7a-8a70-b86e09f0b624_SiteId">
    <vt:lpwstr>7ee9eb5a-1b60-4423-a94b-646e8bc6d4db</vt:lpwstr>
  </property>
  <property fmtid="{D5CDD505-2E9C-101B-9397-08002B2CF9AE}" pid="7" name="MSIP_Label_40040b81-fdf8-4a7a-8a70-b86e09f0b624_ActionId">
    <vt:lpwstr>77e089cf-d241-4317-877c-7f332063df36</vt:lpwstr>
  </property>
  <property fmtid="{D5CDD505-2E9C-101B-9397-08002B2CF9AE}" pid="8" name="MSIP_Label_40040b81-fdf8-4a7a-8a70-b86e09f0b624_ContentBits">
    <vt:lpwstr>0</vt:lpwstr>
  </property>
</Properties>
</file>